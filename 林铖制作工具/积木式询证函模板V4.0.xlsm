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C:\Users\24765\Desktop\"/>
    </mc:Choice>
  </mc:AlternateContent>
  <xr:revisionPtr revIDLastSave="0" documentId="13_ncr:1_{864ED207-B663-4BBF-B1B3-01B2AC26AA5B}" xr6:coauthVersionLast="40" xr6:coauthVersionMax="40" xr10:uidLastSave="{00000000-0000-0000-0000-000000000000}"/>
  <bookViews>
    <workbookView xWindow="-110" yWindow="-110" windowWidth="19420" windowHeight="10420" tabRatio="841" activeTab="4" xr2:uid="{00000000-000D-0000-FFFF-FFFF00000000}"/>
  </bookViews>
  <sheets>
    <sheet name="使用说明" sheetId="11" r:id="rId1"/>
    <sheet name="操作平台" sheetId="10" r:id="rId2"/>
    <sheet name="基本信息" sheetId="3" r:id="rId3"/>
    <sheet name="企业询证函模板" sheetId="1" state="hidden" r:id="rId4"/>
    <sheet name="银行询证函模板" sheetId="14" r:id="rId5"/>
    <sheet name="工程项目函证模板" sheetId="16" state="hidden" r:id="rId6"/>
    <sheet name="有价证券函证模板" sheetId="15" state="hidden" r:id="rId7"/>
    <sheet name="数据表模板" sheetId="12" r:id="rId8"/>
  </sheets>
  <definedNames>
    <definedName name="_xlnm.Print_Area" localSheetId="5">工程项目函证模板!$A$1:$F$44</definedName>
    <definedName name="_xlnm.Print_Area" localSheetId="3">企业询证函模板!$A$1:$E$49</definedName>
    <definedName name="_xlnm.Print_Area" localSheetId="4">银行询证函模板!$A$1:$J$144</definedName>
    <definedName name="_xlnm.Print_Area" localSheetId="6">有价证券函证模板!$A$1:$G$33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 i="11" l="1"/>
  <c r="H1" i="11"/>
  <c r="A4" i="11"/>
  <c r="A5" i="11"/>
  <c r="A3" i="11"/>
  <c r="A2" i="11"/>
  <c r="I5" i="15"/>
  <c r="I4" i="15"/>
  <c r="I3" i="15"/>
  <c r="I4" i="16"/>
  <c r="I3" i="16"/>
  <c r="I2" i="16"/>
  <c r="M4" i="14"/>
  <c r="H4" i="1"/>
  <c r="F1" i="16"/>
  <c r="A4" i="16"/>
  <c r="D28" i="16"/>
  <c r="F16" i="16"/>
  <c r="D16" i="16"/>
  <c r="A4" i="15" l="1"/>
  <c r="C22" i="15"/>
  <c r="G1" i="15"/>
  <c r="C8" i="10" l="1"/>
  <c r="A32" i="10"/>
  <c r="A33" i="10"/>
  <c r="A34" i="10"/>
  <c r="A35" i="10"/>
  <c r="A36" i="10"/>
  <c r="A37" i="10"/>
  <c r="A38" i="10"/>
  <c r="A31" i="10"/>
  <c r="A29" i="10"/>
  <c r="A30" i="10"/>
  <c r="A19" i="10"/>
  <c r="A20" i="10"/>
  <c r="A21" i="10"/>
  <c r="A22" i="10"/>
  <c r="A23" i="10"/>
  <c r="A24" i="10"/>
  <c r="A25" i="10"/>
  <c r="A26" i="10"/>
  <c r="A27" i="10"/>
  <c r="A28" i="10"/>
  <c r="A18" i="10"/>
  <c r="H1" i="12"/>
  <c r="F1" i="12"/>
  <c r="K16" i="1"/>
  <c r="K15" i="1"/>
  <c r="K14" i="1"/>
  <c r="K13" i="1"/>
  <c r="K12" i="1"/>
  <c r="M2" i="14"/>
  <c r="M1" i="14"/>
  <c r="E110" i="14"/>
  <c r="J1" i="14"/>
  <c r="A4" i="14"/>
  <c r="A13" i="14"/>
  <c r="D6" i="10" l="1"/>
  <c r="C9" i="10" l="1"/>
  <c r="C11" i="10"/>
  <c r="C10" i="10"/>
  <c r="J1" i="3"/>
  <c r="E1" i="1"/>
  <c r="H2" i="1" l="1"/>
  <c r="H1" i="1"/>
  <c r="A16" i="10" l="1"/>
  <c r="A17" i="10"/>
  <c r="A15" i="10"/>
  <c r="A2" i="3"/>
  <c r="J17" i="3" l="1"/>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D37" i="1" l="1"/>
  <c r="A4" i="1"/>
  <c r="D30" i="1" l="1"/>
  <c r="J2" i="3" l="1"/>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J16" i="3" s="1"/>
  <c r="A15" i="3"/>
  <c r="J15" i="3" s="1"/>
  <c r="A14" i="3"/>
  <c r="J14" i="3" s="1"/>
  <c r="A13" i="3"/>
  <c r="J13" i="3" s="1"/>
  <c r="A12" i="3"/>
  <c r="J12" i="3" s="1"/>
  <c r="A11" i="3"/>
  <c r="J11" i="3" s="1"/>
  <c r="A10" i="3"/>
  <c r="J10" i="3" s="1"/>
  <c r="A9" i="3"/>
  <c r="J9" i="3" s="1"/>
  <c r="A8" i="3"/>
  <c r="J8" i="3" s="1"/>
  <c r="A7" i="3"/>
  <c r="J7" i="3" s="1"/>
  <c r="A6" i="3"/>
  <c r="J6" i="3" s="1"/>
  <c r="A5" i="3"/>
  <c r="J5" i="3" s="1"/>
  <c r="A4" i="3"/>
  <c r="J4" i="3" s="1"/>
  <c r="A3" i="3"/>
  <c r="J3" i="3" s="1"/>
  <c r="D22" i="1" l="1"/>
  <c r="D26"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LC</author>
  </authors>
  <commentList>
    <comment ref="E1" authorId="0" shapeId="0" xr:uid="{42682E6C-5A80-4DCC-A35C-2413FB0394B0}">
      <text>
        <r>
          <rPr>
            <b/>
            <sz val="9"/>
            <color indexed="81"/>
            <rFont val="宋体"/>
            <family val="3"/>
            <charset val="134"/>
          </rPr>
          <t>LC:</t>
        </r>
        <r>
          <rPr>
            <sz val="9"/>
            <color indexed="81"/>
            <rFont val="宋体"/>
            <family val="3"/>
            <charset val="134"/>
          </rPr>
          <t xml:space="preserve">
此列后可以任意插列不影响生成，用于存放部分每张询证函唯一的信息，比如授权扣款的银行账户等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林铖</author>
  </authors>
  <commentList>
    <comment ref="B10" authorId="0" shapeId="0" xr:uid="{E6D925A0-7306-4280-83DC-B63B8B469121}">
      <text>
        <r>
          <rPr>
            <b/>
            <sz val="9"/>
            <color indexed="81"/>
            <rFont val="宋体"/>
            <family val="3"/>
            <charset val="134"/>
          </rPr>
          <t>林铖:</t>
        </r>
        <r>
          <rPr>
            <sz val="9"/>
            <color indexed="81"/>
            <rFont val="宋体"/>
            <family val="3"/>
            <charset val="134"/>
          </rPr>
          <t xml:space="preserve">
编制询证函的项目组成员名称。</t>
        </r>
      </text>
    </comment>
  </commentList>
</comments>
</file>

<file path=xl/sharedStrings.xml><?xml version="1.0" encoding="utf-8"?>
<sst xmlns="http://schemas.openxmlformats.org/spreadsheetml/2006/main" count="733" uniqueCount="356">
  <si>
    <t>瑞华会计师事务所（特殊普通合伙）深圳分所</t>
    <phoneticPr fontId="3" type="noConversion"/>
  </si>
  <si>
    <t>邮编：518000</t>
    <phoneticPr fontId="3" type="noConversion"/>
  </si>
  <si>
    <t>函证收件人：</t>
    <phoneticPr fontId="5" type="noConversion"/>
  </si>
  <si>
    <t>票据编号</t>
    <phoneticPr fontId="5" type="noConversion"/>
  </si>
  <si>
    <t>金额</t>
    <phoneticPr fontId="5" type="noConversion"/>
  </si>
  <si>
    <t>受票人</t>
    <phoneticPr fontId="5" type="noConversion"/>
  </si>
  <si>
    <t>出票人</t>
    <phoneticPr fontId="5" type="noConversion"/>
  </si>
  <si>
    <t>存货类别</t>
    <phoneticPr fontId="5" type="noConversion"/>
  </si>
  <si>
    <t>XX项目组</t>
    <phoneticPr fontId="3" type="noConversion"/>
  </si>
  <si>
    <t>12345678901</t>
    <phoneticPr fontId="3" type="noConversion"/>
  </si>
  <si>
    <t>数量</t>
    <phoneticPr fontId="3" type="noConversion"/>
  </si>
  <si>
    <t>物料编号</t>
    <phoneticPr fontId="3" type="noConversion"/>
  </si>
  <si>
    <t>物料描述</t>
    <phoneticPr fontId="3" type="noConversion"/>
  </si>
  <si>
    <t>合计</t>
    <phoneticPr fontId="3" type="noConversion"/>
  </si>
  <si>
    <r>
      <rPr>
        <sz val="10"/>
        <rFont val="宋体"/>
        <family val="3"/>
        <charset val="134"/>
      </rPr>
      <t>索引号：</t>
    </r>
    <phoneticPr fontId="5" type="noConversion"/>
  </si>
  <si>
    <r>
      <t xml:space="preserve">         </t>
    </r>
    <r>
      <rPr>
        <sz val="10"/>
        <rFont val="宋体"/>
        <family val="3"/>
        <charset val="134"/>
      </rPr>
      <t>本公司聘请的瑞华会计师事务所（特殊普通合伙）深圳分所正在对本公司</t>
    </r>
    <r>
      <rPr>
        <sz val="10"/>
        <rFont val="Times New Roman"/>
        <family val="1"/>
      </rPr>
      <t>2018</t>
    </r>
    <r>
      <rPr>
        <sz val="10"/>
        <rFont val="宋体"/>
        <family val="3"/>
        <charset val="134"/>
      </rPr>
      <t>年度的财务报表进行审计，按照中国注册会计师审计准则的要求，应当询证本公司与贵公司的往来账项等事项。下列信息出自本公司账簿记录，如与贵公司记录相符，请在本函下端</t>
    </r>
    <r>
      <rPr>
        <sz val="10"/>
        <rFont val="宋体"/>
        <family val="1"/>
        <charset val="134"/>
      </rPr>
      <t>“</t>
    </r>
    <r>
      <rPr>
        <sz val="10"/>
        <rFont val="宋体"/>
        <family val="3"/>
        <charset val="134"/>
      </rPr>
      <t>信息证明无误</t>
    </r>
    <r>
      <rPr>
        <sz val="10"/>
        <rFont val="宋体"/>
        <family val="1"/>
        <charset val="134"/>
      </rPr>
      <t>”</t>
    </r>
    <r>
      <rPr>
        <sz val="10"/>
        <rFont val="宋体"/>
        <family val="3"/>
        <charset val="134"/>
      </rPr>
      <t>处签章证明；如有不符，请在</t>
    </r>
    <r>
      <rPr>
        <sz val="10"/>
        <rFont val="宋体"/>
        <family val="1"/>
        <charset val="134"/>
      </rPr>
      <t>“</t>
    </r>
    <r>
      <rPr>
        <sz val="10"/>
        <rFont val="宋体"/>
        <family val="3"/>
        <charset val="134"/>
      </rPr>
      <t>信息不符</t>
    </r>
    <r>
      <rPr>
        <sz val="10"/>
        <rFont val="宋体"/>
        <family val="1"/>
        <charset val="134"/>
      </rPr>
      <t>”</t>
    </r>
    <r>
      <rPr>
        <sz val="10"/>
        <rFont val="宋体"/>
        <family val="3"/>
        <charset val="134"/>
      </rPr>
      <t>处列明不符项目。如存在与本公司有关的未列入本函的其他项目，也请在</t>
    </r>
    <r>
      <rPr>
        <sz val="10"/>
        <rFont val="宋体"/>
        <family val="1"/>
        <charset val="134"/>
      </rPr>
      <t>“</t>
    </r>
    <r>
      <rPr>
        <sz val="10"/>
        <rFont val="宋体"/>
        <family val="3"/>
        <charset val="134"/>
      </rPr>
      <t>信息不符</t>
    </r>
    <r>
      <rPr>
        <sz val="10"/>
        <rFont val="宋体"/>
        <family val="1"/>
        <charset val="134"/>
      </rPr>
      <t>”</t>
    </r>
    <r>
      <rPr>
        <sz val="10"/>
        <rFont val="宋体"/>
        <family val="3"/>
        <charset val="134"/>
      </rPr>
      <t>处列出这些项目的金额及详细资料。回函请寄至：</t>
    </r>
    <phoneticPr fontId="5" type="noConversion"/>
  </si>
  <si>
    <r>
      <rPr>
        <sz val="10"/>
        <rFont val="宋体"/>
        <family val="3"/>
        <charset val="134"/>
      </rPr>
      <t>单位：</t>
    </r>
    <phoneticPr fontId="5" type="noConversion"/>
  </si>
  <si>
    <r>
      <rPr>
        <sz val="10"/>
        <rFont val="宋体"/>
        <family val="3"/>
        <charset val="134"/>
      </rPr>
      <t>地址：</t>
    </r>
    <r>
      <rPr>
        <sz val="10"/>
        <rFont val="Times New Roman"/>
        <family val="1"/>
      </rPr>
      <t xml:space="preserve">         </t>
    </r>
    <r>
      <rPr>
        <sz val="16"/>
        <rFont val="楷体_GB2312"/>
        <family val="3"/>
        <charset val="134"/>
      </rPr>
      <t/>
    </r>
    <phoneticPr fontId="5" type="noConversion"/>
  </si>
  <si>
    <r>
      <t>深圳市福田区益田路</t>
    </r>
    <r>
      <rPr>
        <sz val="10"/>
        <rFont val="Times New Roman"/>
        <family val="1"/>
      </rPr>
      <t>6001</t>
    </r>
    <r>
      <rPr>
        <sz val="10"/>
        <rFont val="宋体"/>
        <family val="3"/>
        <charset val="134"/>
      </rPr>
      <t>号太平金融大厦</t>
    </r>
    <r>
      <rPr>
        <sz val="10"/>
        <rFont val="Times New Roman"/>
        <family val="1"/>
      </rPr>
      <t>8F</t>
    </r>
    <r>
      <rPr>
        <sz val="10"/>
        <rFont val="宋体"/>
        <family val="3"/>
        <charset val="134"/>
      </rPr>
      <t>函证中心</t>
    </r>
    <phoneticPr fontId="3" type="noConversion"/>
  </si>
  <si>
    <r>
      <rPr>
        <sz val="10"/>
        <rFont val="宋体"/>
        <family val="3"/>
        <charset val="134"/>
      </rPr>
      <t>联系电话：</t>
    </r>
    <phoneticPr fontId="5" type="noConversion"/>
  </si>
  <si>
    <r>
      <rPr>
        <sz val="10"/>
        <rFont val="宋体"/>
        <family val="3"/>
        <charset val="134"/>
      </rPr>
      <t>截止日期</t>
    </r>
    <phoneticPr fontId="5" type="noConversion"/>
  </si>
  <si>
    <r>
      <rPr>
        <sz val="10"/>
        <rFont val="宋体"/>
        <family val="3"/>
        <charset val="134"/>
      </rPr>
      <t>欠贵公司</t>
    </r>
    <phoneticPr fontId="5" type="noConversion"/>
  </si>
  <si>
    <r>
      <rPr>
        <sz val="10"/>
        <rFont val="宋体"/>
        <family val="3"/>
        <charset val="134"/>
      </rPr>
      <t>贵公司欠</t>
    </r>
    <phoneticPr fontId="5" type="noConversion"/>
  </si>
  <si>
    <r>
      <rPr>
        <sz val="10"/>
        <rFont val="宋体"/>
        <family val="3"/>
        <charset val="134"/>
      </rPr>
      <t>备注</t>
    </r>
    <phoneticPr fontId="5" type="noConversion"/>
  </si>
  <si>
    <r>
      <rPr>
        <sz val="10"/>
        <rFont val="宋体"/>
        <family val="3"/>
        <charset val="134"/>
      </rPr>
      <t>发生期间</t>
    </r>
    <phoneticPr fontId="5" type="noConversion"/>
  </si>
  <si>
    <r>
      <rPr>
        <sz val="10"/>
        <rFont val="宋体"/>
        <family val="3"/>
        <charset val="134"/>
      </rPr>
      <t>交易内容</t>
    </r>
    <phoneticPr fontId="5" type="noConversion"/>
  </si>
  <si>
    <r>
      <rPr>
        <sz val="10"/>
        <rFont val="宋体"/>
        <family val="3"/>
        <charset val="134"/>
      </rPr>
      <t>交易金额</t>
    </r>
    <phoneticPr fontId="5" type="noConversion"/>
  </si>
  <si>
    <r>
      <rPr>
        <sz val="10"/>
        <rFont val="宋体"/>
        <family val="3"/>
        <charset val="134"/>
      </rPr>
      <t>本函仅为复核账目之用，并非催款结算。若款项在上述日期之后已经结清，仍请及时函复为盼。</t>
    </r>
    <phoneticPr fontId="5" type="noConversion"/>
  </si>
  <si>
    <r>
      <rPr>
        <sz val="10"/>
        <rFont val="宋体"/>
        <family val="3"/>
        <charset val="134"/>
      </rPr>
      <t>经办人：</t>
    </r>
    <phoneticPr fontId="5" type="noConversion"/>
  </si>
  <si>
    <r>
      <rPr>
        <sz val="10"/>
        <rFont val="宋体"/>
        <family val="3"/>
        <charset val="134"/>
      </rPr>
      <t>日</t>
    </r>
    <r>
      <rPr>
        <sz val="10"/>
        <rFont val="Times New Roman"/>
        <family val="1"/>
      </rPr>
      <t xml:space="preserve">    </t>
    </r>
    <r>
      <rPr>
        <sz val="10"/>
        <rFont val="宋体"/>
        <family val="3"/>
        <charset val="134"/>
      </rPr>
      <t>期：</t>
    </r>
    <phoneticPr fontId="3" type="noConversion"/>
  </si>
  <si>
    <r>
      <rPr>
        <sz val="10"/>
        <rFont val="宋体"/>
        <family val="3"/>
        <charset val="134"/>
      </rPr>
      <t>信息证明无误</t>
    </r>
    <phoneticPr fontId="5" type="noConversion"/>
  </si>
  <si>
    <r>
      <rPr>
        <sz val="10"/>
        <rFont val="宋体"/>
        <family val="3"/>
        <charset val="134"/>
      </rPr>
      <t>信息不符及需加证明事项</t>
    </r>
    <r>
      <rPr>
        <sz val="10"/>
        <rFont val="Times New Roman"/>
        <family val="1"/>
      </rPr>
      <t>(</t>
    </r>
    <r>
      <rPr>
        <sz val="10"/>
        <rFont val="宋体"/>
        <family val="3"/>
        <charset val="134"/>
      </rPr>
      <t>详细附后</t>
    </r>
    <r>
      <rPr>
        <sz val="10"/>
        <rFont val="Times New Roman"/>
        <family val="1"/>
      </rPr>
      <t>)</t>
    </r>
    <phoneticPr fontId="5" type="noConversion"/>
  </si>
  <si>
    <r>
      <rPr>
        <sz val="10"/>
        <rFont val="宋体"/>
        <family val="3"/>
        <charset val="134"/>
      </rPr>
      <t>（公司盖章）</t>
    </r>
  </si>
  <si>
    <r>
      <rPr>
        <sz val="10"/>
        <rFont val="宋体"/>
        <family val="3"/>
        <charset val="134"/>
      </rPr>
      <t>年</t>
    </r>
    <r>
      <rPr>
        <sz val="10"/>
        <rFont val="Times New Roman"/>
        <family val="1"/>
      </rPr>
      <t xml:space="preserve">    </t>
    </r>
    <r>
      <rPr>
        <sz val="10"/>
        <rFont val="宋体"/>
        <family val="3"/>
        <charset val="134"/>
      </rPr>
      <t>月</t>
    </r>
    <r>
      <rPr>
        <sz val="10"/>
        <rFont val="Times New Roman"/>
        <family val="1"/>
      </rPr>
      <t xml:space="preserve">    </t>
    </r>
    <r>
      <rPr>
        <sz val="10"/>
        <rFont val="宋体"/>
        <family val="3"/>
        <charset val="134"/>
      </rPr>
      <t>日</t>
    </r>
    <phoneticPr fontId="5" type="noConversion"/>
  </si>
  <si>
    <t>企业询证函</t>
    <phoneticPr fontId="4" type="noConversion"/>
  </si>
  <si>
    <t>到期日</t>
    <phoneticPr fontId="3" type="noConversion"/>
  </si>
  <si>
    <t>出票日</t>
    <phoneticPr fontId="5" type="noConversion"/>
  </si>
  <si>
    <t>序号</t>
    <phoneticPr fontId="7" type="noConversion"/>
  </si>
  <si>
    <t>索引号</t>
    <phoneticPr fontId="7" type="noConversion"/>
  </si>
  <si>
    <t>条形码编号</t>
    <phoneticPr fontId="7" type="noConversion"/>
  </si>
  <si>
    <t>100-4300-4-1p</t>
    <phoneticPr fontId="7" type="noConversion"/>
  </si>
  <si>
    <t>300-4300-3-1p</t>
    <phoneticPr fontId="7" type="noConversion"/>
  </si>
  <si>
    <t>300-4300-3-2p</t>
    <phoneticPr fontId="7" type="noConversion"/>
  </si>
  <si>
    <t>联系人</t>
    <phoneticPr fontId="7" type="noConversion"/>
  </si>
  <si>
    <t>联系地址</t>
    <phoneticPr fontId="7" type="noConversion"/>
  </si>
  <si>
    <t>联系电话</t>
    <phoneticPr fontId="7" type="noConversion"/>
  </si>
  <si>
    <t>被审计单位名称</t>
    <phoneticPr fontId="7" type="noConversion"/>
  </si>
  <si>
    <t>被函证单位名称</t>
    <phoneticPr fontId="7" type="noConversion"/>
  </si>
  <si>
    <r>
      <t>1.</t>
    </r>
    <r>
      <rPr>
        <sz val="10"/>
        <rFont val="宋体"/>
        <family val="1"/>
        <charset val="134"/>
      </rPr>
      <t>往来款项余额</t>
    </r>
    <phoneticPr fontId="3" type="noConversion"/>
  </si>
  <si>
    <r>
      <t>2.</t>
    </r>
    <r>
      <rPr>
        <sz val="10"/>
        <rFont val="宋体"/>
        <family val="1"/>
        <charset val="134"/>
      </rPr>
      <t>交易额</t>
    </r>
    <phoneticPr fontId="3" type="noConversion"/>
  </si>
  <si>
    <r>
      <t>3.</t>
    </r>
    <r>
      <rPr>
        <sz val="10"/>
        <rFont val="宋体"/>
        <family val="1"/>
        <charset val="134"/>
      </rPr>
      <t>应收票据</t>
    </r>
    <phoneticPr fontId="3" type="noConversion"/>
  </si>
  <si>
    <t>4.应付票据</t>
    <phoneticPr fontId="3" type="noConversion"/>
  </si>
  <si>
    <t>5.代为持有的存货</t>
    <phoneticPr fontId="3" type="noConversion"/>
  </si>
  <si>
    <t>6.其他事项</t>
    <phoneticPr fontId="3" type="noConversion"/>
  </si>
  <si>
    <t>索引号</t>
    <phoneticPr fontId="5" type="noConversion"/>
  </si>
  <si>
    <t>ABC股份有限公司</t>
  </si>
  <si>
    <t>单位</t>
    <phoneticPr fontId="5" type="noConversion"/>
  </si>
  <si>
    <t>100-4300-4-1p</t>
  </si>
  <si>
    <t>应收票据</t>
    <phoneticPr fontId="3" type="noConversion"/>
  </si>
  <si>
    <t>*SZ04999100-4300-001*</t>
    <phoneticPr fontId="7" type="noConversion"/>
  </si>
  <si>
    <t>客户001</t>
    <phoneticPr fontId="7" type="noConversion"/>
  </si>
  <si>
    <t>客户002</t>
  </si>
  <si>
    <t>客户003</t>
  </si>
  <si>
    <t>*SZ04999300-4300-002*</t>
    <phoneticPr fontId="7" type="noConversion"/>
  </si>
  <si>
    <t>客户004</t>
  </si>
  <si>
    <t>*SZ04999300-4300-003*</t>
  </si>
  <si>
    <t>客户005</t>
  </si>
  <si>
    <t>*SZ04999300-4300-004*</t>
  </si>
  <si>
    <t>客户006</t>
  </si>
  <si>
    <t>*SZ04999300-4300-005*</t>
  </si>
  <si>
    <t>客户007</t>
  </si>
  <si>
    <t>*SZ04999300-4300-006*</t>
  </si>
  <si>
    <t>客户008</t>
  </si>
  <si>
    <t>*SZ04999300-4300-007*</t>
  </si>
  <si>
    <t>客户009</t>
  </si>
  <si>
    <t>*SZ04999300-4300-008*</t>
  </si>
  <si>
    <t>客户010</t>
  </si>
  <si>
    <t>*SZ04999300-4300-009*</t>
  </si>
  <si>
    <t>客户011</t>
  </si>
  <si>
    <t>*SZ04999300-4300-010*</t>
  </si>
  <si>
    <t>客户012</t>
  </si>
  <si>
    <t>*SZ04999300-4300-011*</t>
  </si>
  <si>
    <t>客户013</t>
  </si>
  <si>
    <t>*SZ04999300-4300-012*</t>
  </si>
  <si>
    <t>客户014</t>
  </si>
  <si>
    <t>*SZ04999300-4300-013*</t>
  </si>
  <si>
    <t>客户015</t>
  </si>
  <si>
    <t>*SZ04999300-4300-014*</t>
  </si>
  <si>
    <t>aiwenczl股份有限公司</t>
    <phoneticPr fontId="7" type="noConversion"/>
  </si>
  <si>
    <t>E</t>
    <phoneticPr fontId="7" type="noConversion"/>
  </si>
  <si>
    <t>F</t>
    <phoneticPr fontId="7" type="noConversion"/>
  </si>
  <si>
    <t>交易额</t>
    <phoneticPr fontId="3" type="noConversion"/>
  </si>
  <si>
    <t>应付票据</t>
    <phoneticPr fontId="5" type="noConversion"/>
  </si>
  <si>
    <t>序号</t>
    <phoneticPr fontId="5" type="noConversion"/>
  </si>
  <si>
    <t>数据表名称</t>
    <phoneticPr fontId="5" type="noConversion"/>
  </si>
  <si>
    <t>往来余额</t>
    <phoneticPr fontId="5" type="noConversion"/>
  </si>
  <si>
    <t>积木式询证函模板</t>
    <phoneticPr fontId="5" type="noConversion"/>
  </si>
  <si>
    <t>300-4300-3-3p</t>
    <phoneticPr fontId="7" type="noConversion"/>
  </si>
  <si>
    <t>300-4300-3-4p</t>
    <phoneticPr fontId="7" type="noConversion"/>
  </si>
  <si>
    <t>300-4300-3-5p</t>
    <phoneticPr fontId="7" type="noConversion"/>
  </si>
  <si>
    <t>300-4300-3-6p</t>
    <phoneticPr fontId="7" type="noConversion"/>
  </si>
  <si>
    <t>300-4300-3-7p</t>
    <phoneticPr fontId="7" type="noConversion"/>
  </si>
  <si>
    <t>300-4300-3-8p</t>
    <phoneticPr fontId="7" type="noConversion"/>
  </si>
  <si>
    <t>300-4300-3-9p</t>
    <phoneticPr fontId="7" type="noConversion"/>
  </si>
  <si>
    <t>300-4300-3-10p</t>
    <phoneticPr fontId="7" type="noConversion"/>
  </si>
  <si>
    <t>300-4300-3-11p</t>
    <phoneticPr fontId="7" type="noConversion"/>
  </si>
  <si>
    <t>300-4300-3-12p</t>
    <phoneticPr fontId="7" type="noConversion"/>
  </si>
  <si>
    <t>300-4300-3-13p</t>
    <phoneticPr fontId="7" type="noConversion"/>
  </si>
  <si>
    <t>300-4300-3-14p</t>
    <phoneticPr fontId="7" type="noConversion"/>
  </si>
  <si>
    <t>操作平台终止列</t>
    <phoneticPr fontId="5" type="noConversion"/>
  </si>
  <si>
    <t>数据对应列表头</t>
    <phoneticPr fontId="5" type="noConversion"/>
  </si>
  <si>
    <t>截止日期</t>
    <phoneticPr fontId="5" type="noConversion"/>
  </si>
  <si>
    <t>交易内容</t>
    <phoneticPr fontId="5" type="noConversion"/>
  </si>
  <si>
    <t>欠贵公司</t>
    <phoneticPr fontId="5" type="noConversion"/>
  </si>
  <si>
    <t>贵公司欠</t>
    <phoneticPr fontId="5" type="noConversion"/>
  </si>
  <si>
    <t>备注</t>
    <phoneticPr fontId="5" type="noConversion"/>
  </si>
  <si>
    <t>发生期间</t>
    <phoneticPr fontId="5" type="noConversion"/>
  </si>
  <si>
    <t>交易金额</t>
    <phoneticPr fontId="5" type="noConversion"/>
  </si>
  <si>
    <t>I</t>
    <phoneticPr fontId="5" type="noConversion"/>
  </si>
  <si>
    <t>使用说明：</t>
    <phoneticPr fontId="3" type="noConversion"/>
  </si>
  <si>
    <t>对应模板数据填写行（从小到大排列）</t>
    <phoneticPr fontId="5" type="noConversion"/>
  </si>
  <si>
    <t>注意事项：</t>
    <phoneticPr fontId="3" type="noConversion"/>
  </si>
  <si>
    <t>索引号单元格</t>
    <phoneticPr fontId="7" type="noConversion"/>
  </si>
  <si>
    <t>E3</t>
    <phoneticPr fontId="7" type="noConversion"/>
  </si>
  <si>
    <t>2.对方单位名称，被审计单位名称，条形码索引号均使用INDEX+MATCH公式匹配到对应的询证函中，可以自行修改。</t>
    <phoneticPr fontId="3" type="noConversion"/>
  </si>
  <si>
    <t>3.条形码索引号便于函证的扫码登记必须安装对应的条形码字体C39HrP36DlTt才能使用，后续有可能会修改成自动生成的二维码</t>
    <phoneticPr fontId="3" type="noConversion"/>
  </si>
  <si>
    <t>4.注意修改数据表中的字体与边框，格式会原封不动的贴到生成的询证函中</t>
    <phoneticPr fontId="3" type="noConversion"/>
  </si>
  <si>
    <t>注意事项与使用说明</t>
    <phoneticPr fontId="3" type="noConversion"/>
  </si>
  <si>
    <t>1.本询证函模板可以允许模板使用者自由的对模板进行插行插列的修改，只需要修改对应的参数，原理上来说可以所有询证函（包括银行，往来，存货等）的生成要求，由于其便于修改和搭建，就像搭积木一样简单。固将其命名成"积木式询证函模板"。</t>
    <phoneticPr fontId="3" type="noConversion"/>
  </si>
  <si>
    <t>步骤4：单击”操作平台“上的"生成数据表"按钮，会生成如下所示表头的数据统计表，将需要函证的相关数据按照对应格式填入数据统计表，注意函证索引号必须与基本信息表的单位相对应，在数据表中可以出现多个，同一个索引号的内容会生成在一张询证函内</t>
    <phoneticPr fontId="3" type="noConversion"/>
  </si>
  <si>
    <t>步骤6：单击“操作平台”上的"生成询证函"按钮，会按照生成按基本信息表A列序号命名的询证函，并把对应数据表的信息贴到对应询证函指定位置。H列设置了链接可以返回指定表格。</t>
    <phoneticPr fontId="3" type="noConversion"/>
  </si>
  <si>
    <t>*SZ04999300-4300-001*</t>
  </si>
  <si>
    <t>步骤5：填写”基本信息"工作表，注意索引号必须唯一且与步骤3时填写的数据表相对应,I列的链接在生成函证后可以跳转到对应询证函。</t>
    <phoneticPr fontId="3" type="noConversion"/>
  </si>
  <si>
    <t>跳转链接</t>
    <phoneticPr fontId="5" type="noConversion"/>
  </si>
  <si>
    <t>函证模板终止列</t>
    <phoneticPr fontId="7" type="noConversion"/>
  </si>
  <si>
    <t>数据模板终止列</t>
    <phoneticPr fontId="7" type="noConversion"/>
  </si>
  <si>
    <t>步骤7：检查询证函后点击操作平台上的"生成PDF函证"按钮，可以将指定范围的询证函保存成PDF格式，便于分别发不同子公司进行打印盖章</t>
    <phoneticPr fontId="3" type="noConversion"/>
  </si>
  <si>
    <t>账户名称</t>
  </si>
  <si>
    <t>银行账号</t>
  </si>
  <si>
    <t>币种</t>
  </si>
  <si>
    <t>利率</t>
  </si>
  <si>
    <t>余额</t>
  </si>
  <si>
    <t>备注</t>
  </si>
  <si>
    <t>2.银行借款</t>
  </si>
  <si>
    <t>借款日期</t>
  </si>
  <si>
    <t>到期日期</t>
  </si>
  <si>
    <t>注销账户日</t>
  </si>
  <si>
    <t>（1）本公司为其他单位提供的、以贵行为担保受益人的担保。</t>
  </si>
  <si>
    <t>被担保人</t>
  </si>
  <si>
    <t>担保方式</t>
  </si>
  <si>
    <t>（2）贵行向本公司提供的担保</t>
  </si>
  <si>
    <t>除上述列示的担保外，本公司并无贵行提供的其他担保。</t>
  </si>
  <si>
    <t>结算账户账号</t>
  </si>
  <si>
    <t>票面金额</t>
  </si>
  <si>
    <t>到期日</t>
  </si>
  <si>
    <t>除上述列示的银行承兑汇票外，本公司并无由贵行承兑而尚未支付的其他银行承兑汇票。</t>
  </si>
  <si>
    <t>商业汇票号码</t>
  </si>
  <si>
    <t>付款人名称</t>
  </si>
  <si>
    <t>承兑人名称</t>
  </si>
  <si>
    <t>出票日</t>
  </si>
  <si>
    <t>贴现日</t>
  </si>
  <si>
    <t>贴现率</t>
  </si>
  <si>
    <t>贴现净额</t>
  </si>
  <si>
    <t>信用证号码</t>
  </si>
  <si>
    <t>受益人</t>
  </si>
  <si>
    <t>信用证金额</t>
  </si>
  <si>
    <t>类别</t>
  </si>
  <si>
    <t>合约号码</t>
  </si>
  <si>
    <t>买卖币种</t>
  </si>
  <si>
    <t>未履行的合约买卖金额</t>
  </si>
  <si>
    <t>汇率</t>
  </si>
  <si>
    <t>贵行卖予本公司</t>
  </si>
  <si>
    <t>本公司卖予贵行</t>
  </si>
  <si>
    <t>除上述列示的外汇买卖合约外，本公司并无与贵行之间未履行完毕的其他外汇买卖合约。</t>
  </si>
  <si>
    <t>有价证券或其他产权文件名称</t>
  </si>
  <si>
    <t>产权文件编号</t>
  </si>
  <si>
    <t>数量</t>
  </si>
  <si>
    <t>认购金额</t>
  </si>
  <si>
    <t>购买日</t>
  </si>
  <si>
    <t>经办人：</t>
  </si>
  <si>
    <t>授权支付的银行账户</t>
    <phoneticPr fontId="7" type="noConversion"/>
  </si>
  <si>
    <t>选用模板</t>
  </si>
  <si>
    <t>选用模板</t>
    <phoneticPr fontId="5" type="noConversion"/>
  </si>
  <si>
    <t>银行询证函模板</t>
  </si>
  <si>
    <t>银行询证函模板</t>
    <phoneticPr fontId="5" type="noConversion"/>
  </si>
  <si>
    <t>企业询证函模板</t>
    <phoneticPr fontId="5" type="noConversion"/>
  </si>
  <si>
    <t>模板池列表</t>
    <phoneticPr fontId="3" type="noConversion"/>
  </si>
  <si>
    <r>
      <rPr>
        <b/>
        <sz val="14"/>
        <color theme="1"/>
        <rFont val="宋体"/>
        <family val="3"/>
        <charset val="134"/>
      </rPr>
      <t>审计业务银行询证函</t>
    </r>
  </si>
  <si>
    <t>索引号：</t>
  </si>
  <si>
    <r>
      <rPr>
        <sz val="10"/>
        <color theme="1"/>
        <rFont val="Arial"/>
        <family val="2"/>
      </rPr>
      <t xml:space="preserve">    </t>
    </r>
    <r>
      <rPr>
        <sz val="10"/>
        <color theme="1"/>
        <rFont val="宋体"/>
        <family val="3"/>
        <charset val="134"/>
      </rPr>
      <t>本公司聘请的瑞华会计师事务所（特殊普通合伙）深圳分所正在对本公司自</t>
    </r>
    <r>
      <rPr>
        <sz val="10"/>
        <color theme="1"/>
        <rFont val="Arial"/>
        <family val="2"/>
      </rPr>
      <t>2018</t>
    </r>
    <r>
      <rPr>
        <sz val="10"/>
        <color theme="1"/>
        <rFont val="宋体"/>
        <family val="3"/>
        <charset val="134"/>
      </rPr>
      <t>年</t>
    </r>
    <r>
      <rPr>
        <sz val="10"/>
        <color theme="1"/>
        <rFont val="Arial"/>
        <family val="2"/>
      </rPr>
      <t>1</t>
    </r>
    <r>
      <rPr>
        <sz val="10"/>
        <color theme="1"/>
        <rFont val="宋体"/>
        <family val="3"/>
        <charset val="134"/>
      </rPr>
      <t>月</t>
    </r>
    <r>
      <rPr>
        <sz val="10"/>
        <color theme="1"/>
        <rFont val="Arial"/>
        <family val="2"/>
      </rPr>
      <t>1</t>
    </r>
    <r>
      <rPr>
        <sz val="10"/>
        <color theme="1"/>
        <rFont val="宋体"/>
        <family val="3"/>
        <charset val="134"/>
      </rPr>
      <t>日起至</t>
    </r>
    <r>
      <rPr>
        <sz val="10"/>
        <color theme="1"/>
        <rFont val="Arial"/>
        <family val="2"/>
      </rPr>
      <t>2018</t>
    </r>
    <r>
      <rPr>
        <sz val="10"/>
        <color theme="1"/>
        <rFont val="宋体"/>
        <family val="3"/>
        <charset val="134"/>
      </rPr>
      <t>年</t>
    </r>
    <r>
      <rPr>
        <sz val="10"/>
        <color theme="1"/>
        <rFont val="Arial"/>
        <family val="2"/>
      </rPr>
      <t>12</t>
    </r>
    <r>
      <rPr>
        <sz val="10"/>
        <color theme="1"/>
        <rFont val="宋体"/>
        <family val="3"/>
        <charset val="134"/>
      </rPr>
      <t>月</t>
    </r>
    <r>
      <rPr>
        <sz val="10"/>
        <color theme="1"/>
        <rFont val="Arial"/>
        <family val="2"/>
      </rPr>
      <t>31</t>
    </r>
    <r>
      <rPr>
        <sz val="10"/>
        <color theme="1"/>
        <rFont val="宋体"/>
        <family val="3"/>
        <charset val="134"/>
      </rPr>
      <t>日期间内（</t>
    </r>
    <r>
      <rPr>
        <sz val="10"/>
        <color theme="1"/>
        <rFont val="Arial"/>
        <family val="2"/>
      </rPr>
      <t>2018</t>
    </r>
    <r>
      <rPr>
        <sz val="10"/>
        <color theme="1"/>
        <rFont val="宋体"/>
        <family val="3"/>
        <charset val="134"/>
      </rPr>
      <t>年</t>
    </r>
    <r>
      <rPr>
        <sz val="10"/>
        <color theme="1"/>
        <rFont val="Arial"/>
        <family val="2"/>
      </rPr>
      <t>1-12</t>
    </r>
    <r>
      <rPr>
        <sz val="10"/>
        <color theme="1"/>
        <rFont val="宋体"/>
        <family val="3"/>
        <charset val="134"/>
      </rPr>
      <t>月）的财务报表进行审计，按照中国注册会计师审计准则的要求，应当询证本公司与贵行相关的信息。下列</t>
    </r>
    <r>
      <rPr>
        <sz val="10"/>
        <color theme="1"/>
        <rFont val="Arial"/>
        <family val="2"/>
      </rPr>
      <t>1-14</t>
    </r>
    <r>
      <rPr>
        <sz val="10"/>
        <color theme="1"/>
        <rFont val="宋体"/>
        <family val="3"/>
        <charset val="134"/>
      </rPr>
      <t>项信息出自本公司记录：</t>
    </r>
    <r>
      <rPr>
        <sz val="10"/>
        <color theme="1"/>
        <rFont val="Arial"/>
        <family val="2"/>
      </rPr>
      <t xml:space="preserve">
</t>
    </r>
    <r>
      <rPr>
        <sz val="10"/>
        <color theme="1"/>
        <rFont val="宋体"/>
        <family val="3"/>
        <charset val="134"/>
      </rPr>
      <t>（</t>
    </r>
    <r>
      <rPr>
        <sz val="10"/>
        <color theme="1"/>
        <rFont val="Arial"/>
        <family val="2"/>
      </rPr>
      <t>1</t>
    </r>
    <r>
      <rPr>
        <sz val="10"/>
        <color theme="1"/>
        <rFont val="宋体"/>
        <family val="3"/>
        <charset val="134"/>
      </rPr>
      <t>）如与贵行记录相符，请在本函</t>
    </r>
    <r>
      <rPr>
        <sz val="10"/>
        <color theme="1"/>
        <rFont val="Arial"/>
        <family val="2"/>
      </rPr>
      <t>“</t>
    </r>
    <r>
      <rPr>
        <sz val="10"/>
        <color theme="1"/>
        <rFont val="宋体"/>
        <family val="3"/>
        <charset val="134"/>
      </rPr>
      <t>结论</t>
    </r>
    <r>
      <rPr>
        <sz val="10"/>
        <color theme="1"/>
        <rFont val="Arial"/>
        <family val="2"/>
      </rPr>
      <t>”</t>
    </r>
    <r>
      <rPr>
        <sz val="10"/>
        <color theme="1"/>
        <rFont val="宋体"/>
        <family val="3"/>
        <charset val="134"/>
      </rPr>
      <t>部分签字、签章；</t>
    </r>
    <r>
      <rPr>
        <sz val="10"/>
        <color theme="1"/>
        <rFont val="Arial"/>
        <family val="2"/>
      </rPr>
      <t xml:space="preserve">
</t>
    </r>
    <r>
      <rPr>
        <sz val="10"/>
        <color theme="1"/>
        <rFont val="宋体"/>
        <family val="3"/>
        <charset val="134"/>
      </rPr>
      <t>（</t>
    </r>
    <r>
      <rPr>
        <sz val="10"/>
        <color theme="1"/>
        <rFont val="Arial"/>
        <family val="2"/>
      </rPr>
      <t>2</t>
    </r>
    <r>
      <rPr>
        <sz val="10"/>
        <color theme="1"/>
        <rFont val="宋体"/>
        <family val="3"/>
        <charset val="134"/>
      </rPr>
      <t>）如有不符，请在本函</t>
    </r>
    <r>
      <rPr>
        <sz val="10"/>
        <color theme="1"/>
        <rFont val="Arial"/>
        <family val="2"/>
      </rPr>
      <t>“</t>
    </r>
    <r>
      <rPr>
        <sz val="10"/>
        <color theme="1"/>
        <rFont val="宋体"/>
        <family val="3"/>
        <charset val="134"/>
      </rPr>
      <t>结论</t>
    </r>
    <r>
      <rPr>
        <sz val="10"/>
        <color theme="1"/>
        <rFont val="Arial"/>
        <family val="2"/>
      </rPr>
      <t>”</t>
    </r>
    <r>
      <rPr>
        <sz val="10"/>
        <color theme="1"/>
        <rFont val="宋体"/>
        <family val="3"/>
        <charset val="134"/>
      </rPr>
      <t>部分列明不符项目及具体内容，并签字和签章。</t>
    </r>
    <r>
      <rPr>
        <sz val="10"/>
        <color theme="1"/>
        <rFont val="Arial"/>
        <family val="2"/>
      </rPr>
      <t xml:space="preserve">
</t>
    </r>
    <r>
      <rPr>
        <sz val="10"/>
        <color theme="1"/>
        <rFont val="宋体"/>
        <family val="3"/>
        <charset val="134"/>
      </rPr>
      <t>本公司谨授权贵行将回函直接寄至瑞华会计师事务所（特殊普通合伙）深圳分所，地址及联系方式如下：</t>
    </r>
  </si>
  <si>
    <t>回函单位：瑞华会计师事务所（特殊普通合伙）深圳分所</t>
  </si>
  <si>
    <r>
      <rPr>
        <sz val="10"/>
        <color theme="1"/>
        <rFont val="宋体"/>
        <family val="3"/>
        <charset val="134"/>
      </rPr>
      <t>回函地址：广东省深圳市福田区益田路</t>
    </r>
    <r>
      <rPr>
        <sz val="10"/>
        <color theme="1"/>
        <rFont val="Arial"/>
        <family val="2"/>
      </rPr>
      <t>6001</t>
    </r>
    <r>
      <rPr>
        <sz val="10"/>
        <color theme="1"/>
        <rFont val="宋体"/>
        <family val="3"/>
        <charset val="134"/>
      </rPr>
      <t>号太平金融大厦</t>
    </r>
    <r>
      <rPr>
        <sz val="10"/>
        <color theme="1"/>
        <rFont val="Arial"/>
        <family val="2"/>
      </rPr>
      <t>8</t>
    </r>
    <r>
      <rPr>
        <sz val="10"/>
        <color theme="1"/>
        <rFont val="宋体"/>
        <family val="3"/>
        <charset val="134"/>
      </rPr>
      <t>楼函证中心</t>
    </r>
  </si>
  <si>
    <t>回函收件人电话：</t>
  </si>
  <si>
    <t>邮政编码：</t>
  </si>
  <si>
    <t>截至2018年12月31日,本公司与贵行相关的信息列示如下:</t>
    <phoneticPr fontId="3" type="noConversion"/>
  </si>
  <si>
    <r>
      <rPr>
        <b/>
        <sz val="10"/>
        <color theme="1"/>
        <rFont val="Arial"/>
        <family val="2"/>
      </rPr>
      <t>1.</t>
    </r>
    <r>
      <rPr>
        <b/>
        <sz val="10"/>
        <color indexed="8"/>
        <rFont val="宋体"/>
        <family val="3"/>
        <charset val="134"/>
      </rPr>
      <t>银行存款</t>
    </r>
  </si>
  <si>
    <t>账户类型</t>
  </si>
  <si>
    <t>起止日期</t>
  </si>
  <si>
    <t>是否用于担保或存在其他使用限制</t>
    <phoneticPr fontId="3" type="noConversion"/>
  </si>
  <si>
    <t>除上述列示的银行存款外，本公司并无在贵行的其他存款。</t>
  </si>
  <si>
    <t>余额</t>
    <phoneticPr fontId="3" type="noConversion"/>
  </si>
  <si>
    <t>利率</t>
    <phoneticPr fontId="3" type="noConversion"/>
  </si>
  <si>
    <t>除上述列示的银行借款外，本公司并无自贵行的其他借款。</t>
  </si>
  <si>
    <t>除上述列示的注销账户外，本公司在此期间并未在贵行注销其他账户。</t>
  </si>
  <si>
    <t>资金借入方</t>
  </si>
  <si>
    <t>贷款起止日期</t>
  </si>
  <si>
    <t>除上述列示的委托存款外，本公司并无通过贵行办理的其他委托存款。</t>
  </si>
  <si>
    <t>资金借出方</t>
  </si>
  <si>
    <t>除上述列示的委托贷款外，本公司并无通过贵行办理的其他委托贷款。</t>
  </si>
  <si>
    <t>担保余额</t>
  </si>
  <si>
    <t>担保到期日</t>
  </si>
  <si>
    <t>担保合同编号</t>
    <phoneticPr fontId="3" type="noConversion"/>
  </si>
  <si>
    <t>除上述列示的担保外，本公司并无其他以贵行为担保受益人的担保。</t>
  </si>
  <si>
    <t>担保金额</t>
  </si>
  <si>
    <t>担保合同编号</t>
  </si>
  <si>
    <t>银行承兑汇票号码</t>
    <phoneticPr fontId="3" type="noConversion"/>
  </si>
  <si>
    <t>承兑银行名称</t>
  </si>
  <si>
    <t>除上述列示的商业汇票外，本公司并无向贵行已贴现而尚未到期的其他商业汇票。</t>
  </si>
  <si>
    <t>未使用金额</t>
  </si>
  <si>
    <t>除上述列示的不可撤销信用证外，本公司并无由贵行开具的、未履行完毕的其他不可撤销信用证。</t>
  </si>
  <si>
    <t>交收日期</t>
    <phoneticPr fontId="3" type="noConversion"/>
  </si>
  <si>
    <t>金额</t>
  </si>
  <si>
    <t>除上述列示的有价证券或其他产权文件外，本公司并无存放于贵行的其他有价证券或其他产权文件。</t>
  </si>
  <si>
    <t>产品名称</t>
  </si>
  <si>
    <t>产品类型</t>
  </si>
  <si>
    <t>除上述列示的银行理财产品外，本公司并无购买其他由贵行发行的理财产品。</t>
  </si>
  <si>
    <t>注：此项应填列注册会计师认为重大且应予函证的其他事项，如欠银行的其他负债或者或有负债、除外汇买卖外的其他衍生交易、贵金属交易等。</t>
    <phoneticPr fontId="3" type="noConversion"/>
  </si>
  <si>
    <t>（预留印鉴）</t>
  </si>
  <si>
    <t xml:space="preserve">          年       月      日</t>
  </si>
  <si>
    <t>（银行盖章）</t>
  </si>
  <si>
    <t>复核人：</t>
  </si>
  <si>
    <t>职务：</t>
  </si>
  <si>
    <t>电话：</t>
  </si>
  <si>
    <t>说明：</t>
  </si>
  <si>
    <t>注：如存在本金或利息逾期未付行为，在“备注”栏中予以说明。</t>
  </si>
  <si>
    <t>3、自2018年1月1日起至2018年12月31日期间内注销的账户</t>
  </si>
  <si>
    <t>4、本公司作为贷款方的委托贷款</t>
  </si>
  <si>
    <t>注：如资金借入方存在本金或利息逾期未付行为，在“备注”栏中予以说明</t>
  </si>
  <si>
    <t>5、本公司作为借款方的委托贷款</t>
  </si>
  <si>
    <t>6、担保（包括保函）</t>
  </si>
  <si>
    <t>注：如采用抵押或质押方式提供担保的，应在“备注”栏中说明抵押或质押物情况；如被担保方存在本金或利息逾期未付行为，在“备注”栏中予以说明。</t>
  </si>
  <si>
    <t>7、本公司为出票人且由贵行承兑而尚未支付的银行承兑汇票</t>
  </si>
  <si>
    <t>8、本公司向贵行已贴现而尚未到期的商业汇票</t>
  </si>
  <si>
    <t>9、本公司为持票人且由贵行托收的商业汇票</t>
  </si>
  <si>
    <t>10、本公司为申请人、由贵行开具的、未履行完毕的不可撤销信用证</t>
  </si>
  <si>
    <t>11、本公司与贵行之间未履行完毕的外汇买卖合约</t>
  </si>
  <si>
    <t>12、本公司存放于贵行的有价证券或其他产权文件</t>
  </si>
  <si>
    <t>13、本公司购买的由贵行发行的未到期银行理财产品</t>
  </si>
  <si>
    <t xml:space="preserve">经办人：      </t>
  </si>
  <si>
    <t xml:space="preserve">职务：      </t>
  </si>
  <si>
    <t xml:space="preserve">电话：    </t>
  </si>
  <si>
    <t>1.经本行核对，所函证项目与本行记载信息相符。特此函复。</t>
  </si>
  <si>
    <r>
      <t xml:space="preserve">          </t>
    </r>
    <r>
      <rPr>
        <b/>
        <sz val="10"/>
        <rFont val="宋体"/>
        <family val="3"/>
        <charset val="134"/>
      </rPr>
      <t>年</t>
    </r>
    <r>
      <rPr>
        <b/>
        <u/>
        <sz val="10"/>
        <rFont val="宋体"/>
        <family val="3"/>
        <charset val="134"/>
      </rPr>
      <t xml:space="preserve">       </t>
    </r>
    <r>
      <rPr>
        <b/>
        <sz val="10"/>
        <rFont val="宋体"/>
        <family val="3"/>
        <charset val="134"/>
      </rPr>
      <t>月</t>
    </r>
    <r>
      <rPr>
        <b/>
        <u/>
        <sz val="10"/>
        <rFont val="宋体"/>
        <family val="3"/>
        <charset val="134"/>
      </rPr>
      <t xml:space="preserve">      </t>
    </r>
    <r>
      <rPr>
        <b/>
        <sz val="10"/>
        <rFont val="宋体"/>
        <family val="3"/>
        <charset val="134"/>
      </rPr>
      <t>日</t>
    </r>
  </si>
  <si>
    <t>2.经本行核对，存在以下不符之处。</t>
  </si>
  <si>
    <t>1.本询证函（包括回函）中所列信息应严格保密，仅用于注册会计师审计目的。</t>
  </si>
  <si>
    <t>2.注册会计师可根据审计的需要，从本函所列第1-14项中选择所需询证的项目，对于不适用的项目，应当将该项目中的表格用斜线划掉。</t>
  </si>
  <si>
    <t>3.本函应由被审计单位加盖骑缝章。</t>
  </si>
  <si>
    <t>借款人名称</t>
  </si>
  <si>
    <t>抵（质）押品/担保人</t>
  </si>
  <si>
    <t>14.其他</t>
    <phoneticPr fontId="3" type="noConversion"/>
  </si>
  <si>
    <r>
      <t xml:space="preserve">                                             </t>
    </r>
    <r>
      <rPr>
        <b/>
        <sz val="10"/>
        <rFont val="宋体"/>
        <family val="3"/>
        <charset val="134"/>
      </rPr>
      <t>以下由被询证银行填列</t>
    </r>
    <r>
      <rPr>
        <b/>
        <u/>
        <sz val="10"/>
        <rFont val="宋体"/>
        <family val="3"/>
        <charset val="134"/>
      </rPr>
      <t xml:space="preserve">                                             </t>
    </r>
    <r>
      <rPr>
        <b/>
        <sz val="10"/>
        <rFont val="宋体"/>
        <family val="3"/>
        <charset val="134"/>
      </rPr>
      <t xml:space="preserve">。           </t>
    </r>
    <r>
      <rPr>
        <b/>
        <u/>
        <sz val="10"/>
        <rFont val="宋体"/>
        <family val="3"/>
        <charset val="134"/>
      </rPr>
      <t xml:space="preserve">                          </t>
    </r>
  </si>
  <si>
    <t>注：“起止日期”一栏仅适用于定期存款，如为活期或保证金存款，可只填写“活期”或“保证金”字样；“账户类型”列明账户性质，如基本户、一般户等。</t>
  </si>
  <si>
    <t>回函收件人：XX项目组</t>
    <phoneticPr fontId="3" type="noConversion"/>
  </si>
  <si>
    <t>存款</t>
    <phoneticPr fontId="3" type="noConversion"/>
  </si>
  <si>
    <t>借款</t>
    <phoneticPr fontId="3" type="noConversion"/>
  </si>
  <si>
    <t>销户</t>
    <phoneticPr fontId="3" type="noConversion"/>
  </si>
  <si>
    <t>表格名称</t>
    <phoneticPr fontId="3" type="noConversion"/>
  </si>
  <si>
    <t>对应行</t>
    <phoneticPr fontId="3" type="noConversion"/>
  </si>
  <si>
    <t>备选数据表表头：</t>
    <phoneticPr fontId="3" type="noConversion"/>
  </si>
  <si>
    <t>委托贷款贷款方</t>
    <phoneticPr fontId="3" type="noConversion"/>
  </si>
  <si>
    <t>委托借款借款方</t>
    <phoneticPr fontId="3" type="noConversion"/>
  </si>
  <si>
    <t>数据表名称</t>
    <phoneticPr fontId="3" type="noConversion"/>
  </si>
  <si>
    <t>操作平台终止列</t>
  </si>
  <si>
    <t>函证模板终止列</t>
  </si>
  <si>
    <t>数据模板终止列</t>
  </si>
  <si>
    <t>索引号单元格</t>
  </si>
  <si>
    <t>本询证函基本参数</t>
    <phoneticPr fontId="3" type="noConversion"/>
  </si>
  <si>
    <t>J</t>
  </si>
  <si>
    <t>J</t>
    <phoneticPr fontId="3" type="noConversion"/>
  </si>
  <si>
    <t>K</t>
  </si>
  <si>
    <t>K</t>
    <phoneticPr fontId="3" type="noConversion"/>
  </si>
  <si>
    <t>N</t>
  </si>
  <si>
    <t>N</t>
    <phoneticPr fontId="3" type="noConversion"/>
  </si>
  <si>
    <t>H3</t>
  </si>
  <si>
    <t>H3</t>
    <phoneticPr fontId="3" type="noConversion"/>
  </si>
  <si>
    <t>银行询证函模板</t>
    <phoneticPr fontId="3" type="noConversion"/>
  </si>
  <si>
    <t>担保（包含保函）提供</t>
    <phoneticPr fontId="3" type="noConversion"/>
  </si>
  <si>
    <t>担保（包含保函）接受</t>
    <phoneticPr fontId="3" type="noConversion"/>
  </si>
  <si>
    <t>应付票据</t>
    <phoneticPr fontId="3" type="noConversion"/>
  </si>
  <si>
    <t>票据贴现</t>
    <phoneticPr fontId="3" type="noConversion"/>
  </si>
  <si>
    <t>票据托收</t>
    <phoneticPr fontId="3" type="noConversion"/>
  </si>
  <si>
    <t>信用证</t>
    <phoneticPr fontId="3" type="noConversion"/>
  </si>
  <si>
    <t>有价证券和其他产权文件</t>
    <phoneticPr fontId="3" type="noConversion"/>
  </si>
  <si>
    <t>理财产品</t>
    <phoneticPr fontId="3" type="noConversion"/>
  </si>
  <si>
    <t>其他</t>
    <phoneticPr fontId="3" type="noConversion"/>
  </si>
  <si>
    <t>本询证函基本参数</t>
    <phoneticPr fontId="3" type="noConversion"/>
  </si>
  <si>
    <t>存货</t>
    <phoneticPr fontId="5" type="noConversion"/>
  </si>
  <si>
    <t>索引号</t>
    <phoneticPr fontId="3" type="noConversion"/>
  </si>
  <si>
    <t>工程项目函证模板</t>
    <phoneticPr fontId="3" type="noConversion"/>
  </si>
  <si>
    <t>步骤1：选择并修改或制作合适的询证函模板，如果是新添加的询证函模板请将新建模板工作表名添加至左侧的模板池列标。</t>
    <phoneticPr fontId="3" type="noConversion"/>
  </si>
  <si>
    <t>证券投资询证函</t>
  </si>
  <si>
    <t xml:space="preserve">     本公司聘请的瑞华会计师事务所（特殊普通合伙）正在对本公司财务报表进行审计，按照中国注册会计师审计准则的要求，应当询证本公司与贵公司（单位）的往来账项等事项。下列信息出自本公司账簿记录，如与贵公司记录相符，请在本函下端“信息证明无误”处签章证明；如有不符，请在“信息不符”处列明不符项目，如存在与本公司有关的未列入本函的其他项目，也请在“信息不符”处列出这些项目的金额及详细资料。
    回函请直接寄至瑞华会计师事务所（特殊普通合伙），地址及联系方式如下：</t>
  </si>
  <si>
    <t xml:space="preserve">    回函地址：深圳市福田区益田路6001号太平金融大厦8F函证中心</t>
  </si>
  <si>
    <r>
      <t>1</t>
    </r>
    <r>
      <rPr>
        <sz val="10"/>
        <rFont val="宋体"/>
        <family val="2"/>
      </rPr>
      <t>、截至</t>
    </r>
    <r>
      <rPr>
        <sz val="10"/>
        <rFont val="Arial"/>
        <family val="2"/>
      </rPr>
      <t xml:space="preserve">20 18   </t>
    </r>
    <r>
      <rPr>
        <sz val="10"/>
        <rFont val="宋体"/>
        <family val="2"/>
      </rPr>
      <t>年</t>
    </r>
    <r>
      <rPr>
        <sz val="10"/>
        <rFont val="Arial"/>
        <family val="2"/>
      </rPr>
      <t xml:space="preserve">  12 </t>
    </r>
    <r>
      <rPr>
        <sz val="10"/>
        <rFont val="宋体"/>
        <family val="2"/>
      </rPr>
      <t>月</t>
    </r>
    <r>
      <rPr>
        <sz val="10"/>
        <rFont val="Arial"/>
        <family val="2"/>
      </rPr>
      <t xml:space="preserve">   31</t>
    </r>
    <r>
      <rPr>
        <sz val="10"/>
        <rFont val="宋体"/>
        <family val="2"/>
      </rPr>
      <t>日止，本公司的证券投资账项列示如下：</t>
    </r>
  </si>
  <si>
    <t>金额单位：人民币元</t>
  </si>
  <si>
    <t>名称</t>
  </si>
  <si>
    <t>持有份额</t>
  </si>
  <si>
    <t>成本</t>
  </si>
  <si>
    <t>期末账面价值</t>
  </si>
  <si>
    <t>期末份额净值</t>
  </si>
  <si>
    <t>是否质押</t>
  </si>
  <si>
    <r>
      <t>2</t>
    </r>
    <r>
      <rPr>
        <sz val="10"/>
        <rFont val="宋体"/>
        <family val="3"/>
        <charset val="134"/>
      </rPr>
      <t>、其他事项</t>
    </r>
  </si>
  <si>
    <r>
      <t xml:space="preserve">     </t>
    </r>
    <r>
      <rPr>
        <sz val="10"/>
        <rFont val="宋体"/>
        <family val="3"/>
        <charset val="134"/>
      </rPr>
      <t>本函仅为复核账目之用，并非催款结算。若款项在上述日期之后已经付清，仍请及时函复为盼。</t>
    </r>
  </si>
  <si>
    <r>
      <t>结论：</t>
    </r>
    <r>
      <rPr>
        <b/>
        <sz val="10"/>
        <rFont val="Arial"/>
        <family val="2"/>
      </rPr>
      <t xml:space="preserve"> </t>
    </r>
  </si>
  <si>
    <r>
      <t>1.</t>
    </r>
    <r>
      <rPr>
        <b/>
        <sz val="10"/>
        <rFont val="宋体"/>
        <family val="3"/>
        <charset val="134"/>
      </rPr>
      <t>信息证明无误</t>
    </r>
  </si>
  <si>
    <r>
      <t>2.</t>
    </r>
    <r>
      <rPr>
        <b/>
        <sz val="10"/>
        <rFont val="宋体"/>
        <family val="2"/>
      </rPr>
      <t>信息不符，请列明不符项目及具体内容：</t>
    </r>
  </si>
  <si>
    <t>签章：</t>
  </si>
  <si>
    <r>
      <t>日期</t>
    </r>
    <r>
      <rPr>
        <b/>
        <sz val="10"/>
        <rFont val="Arial"/>
        <family val="2"/>
      </rPr>
      <t xml:space="preserve">       2019</t>
    </r>
    <r>
      <rPr>
        <b/>
        <sz val="10"/>
        <rFont val="宋体"/>
        <family val="3"/>
        <charset val="134"/>
      </rPr>
      <t>年</t>
    </r>
    <r>
      <rPr>
        <b/>
        <sz val="10"/>
        <rFont val="Arial"/>
        <family val="2"/>
      </rPr>
      <t xml:space="preserve">   </t>
    </r>
    <r>
      <rPr>
        <b/>
        <sz val="10"/>
        <rFont val="宋体"/>
        <family val="3"/>
        <charset val="134"/>
      </rPr>
      <t>月</t>
    </r>
    <r>
      <rPr>
        <b/>
        <sz val="10"/>
        <rFont val="Arial"/>
        <family val="2"/>
      </rPr>
      <t xml:space="preserve"> </t>
    </r>
    <r>
      <rPr>
        <b/>
        <sz val="10"/>
        <rFont val="宋体"/>
        <family val="3"/>
        <charset val="134"/>
      </rPr>
      <t>　</t>
    </r>
    <r>
      <rPr>
        <b/>
        <sz val="10"/>
        <rFont val="Arial"/>
        <family val="2"/>
      </rPr>
      <t xml:space="preserve">  </t>
    </r>
    <r>
      <rPr>
        <b/>
        <sz val="10"/>
        <rFont val="宋体"/>
        <family val="3"/>
        <charset val="134"/>
      </rPr>
      <t>日</t>
    </r>
  </si>
  <si>
    <t>日期       2019年   月 　  日</t>
  </si>
  <si>
    <r>
      <t xml:space="preserve">         </t>
    </r>
    <r>
      <rPr>
        <sz val="10"/>
        <rFont val="宋体"/>
        <family val="2"/>
      </rPr>
      <t>收件人：</t>
    </r>
    <r>
      <rPr>
        <sz val="10"/>
        <rFont val="Arial"/>
        <family val="2"/>
      </rPr>
      <t>XXX</t>
    </r>
    <r>
      <rPr>
        <sz val="10"/>
        <rFont val="宋体"/>
        <family val="2"/>
      </rPr>
      <t>项目组</t>
    </r>
    <r>
      <rPr>
        <sz val="10"/>
        <rFont val="Arial"/>
        <family val="2"/>
      </rPr>
      <t xml:space="preserve">                     </t>
    </r>
    <r>
      <rPr>
        <sz val="10"/>
        <rFont val="宋体"/>
        <family val="2"/>
      </rPr>
      <t>电话：</t>
    </r>
    <r>
      <rPr>
        <sz val="10"/>
        <rFont val="Arial"/>
        <family val="2"/>
      </rPr>
      <t xml:space="preserve">12345678901                </t>
    </r>
    <phoneticPr fontId="7" type="noConversion"/>
  </si>
  <si>
    <t>有价证券函证模板</t>
  </si>
  <si>
    <t>证券投资</t>
    <phoneticPr fontId="3" type="noConversion"/>
  </si>
  <si>
    <t>行数</t>
    <phoneticPr fontId="3" type="noConversion"/>
  </si>
  <si>
    <r>
      <rPr>
        <b/>
        <sz val="16"/>
        <rFont val="宋体"/>
        <family val="3"/>
        <charset val="134"/>
      </rPr>
      <t>往来账项询证函</t>
    </r>
    <phoneticPr fontId="4" type="noConversion"/>
  </si>
  <si>
    <r>
      <rPr>
        <sz val="11"/>
        <rFont val="宋体"/>
        <family val="3"/>
        <charset val="134"/>
      </rPr>
      <t>单位：元人民币</t>
    </r>
    <phoneticPr fontId="4" type="noConversion"/>
  </si>
  <si>
    <r>
      <rPr>
        <sz val="11"/>
        <rFont val="宋体"/>
        <family val="3"/>
        <charset val="134"/>
      </rPr>
      <t>项目</t>
    </r>
    <phoneticPr fontId="5" type="noConversion"/>
  </si>
  <si>
    <r>
      <rPr>
        <sz val="11"/>
        <rFont val="宋体"/>
        <family val="3"/>
        <charset val="134"/>
      </rPr>
      <t>合同金额</t>
    </r>
    <phoneticPr fontId="5" type="noConversion"/>
  </si>
  <si>
    <r>
      <rPr>
        <sz val="11"/>
        <rFont val="宋体"/>
        <family val="3"/>
        <charset val="134"/>
      </rPr>
      <t>累计进度</t>
    </r>
    <phoneticPr fontId="7" type="noConversion"/>
  </si>
  <si>
    <r>
      <rPr>
        <sz val="11"/>
        <rFont val="宋体"/>
        <family val="3"/>
        <charset val="134"/>
      </rPr>
      <t>应收余额</t>
    </r>
    <phoneticPr fontId="5" type="noConversion"/>
  </si>
  <si>
    <r>
      <rPr>
        <sz val="11"/>
        <rFont val="宋体"/>
        <family val="3"/>
        <charset val="134"/>
      </rPr>
      <t>合计</t>
    </r>
    <phoneticPr fontId="7" type="noConversion"/>
  </si>
  <si>
    <r>
      <t>2</t>
    </r>
    <r>
      <rPr>
        <sz val="11"/>
        <rFont val="宋体"/>
        <family val="3"/>
        <charset val="134"/>
      </rPr>
      <t>、其他事项：请回答以下问题（在确定的选项框处打√）</t>
    </r>
    <phoneticPr fontId="5" type="noConversion"/>
  </si>
  <si>
    <r>
      <rPr>
        <sz val="11"/>
        <rFont val="宋体"/>
        <family val="3"/>
        <charset val="134"/>
      </rPr>
      <t>本公司与贵公司是否为关联方？</t>
    </r>
    <r>
      <rPr>
        <sz val="11"/>
        <rFont val="Arial Narrow"/>
        <family val="2"/>
      </rPr>
      <t/>
    </r>
    <phoneticPr fontId="7" type="noConversion"/>
  </si>
  <si>
    <r>
      <t xml:space="preserve"> </t>
    </r>
    <r>
      <rPr>
        <sz val="11"/>
        <rFont val="宋体"/>
        <family val="3"/>
        <charset val="134"/>
      </rPr>
      <t>回答：□是</t>
    </r>
    <r>
      <rPr>
        <sz val="11"/>
        <rFont val="Times New Roman"/>
        <family val="1"/>
      </rPr>
      <t xml:space="preserve">      </t>
    </r>
    <r>
      <rPr>
        <sz val="11"/>
        <rFont val="宋体"/>
        <family val="3"/>
        <charset val="134"/>
      </rPr>
      <t>□否</t>
    </r>
  </si>
  <si>
    <r>
      <rPr>
        <sz val="11"/>
        <rFont val="宋体"/>
        <family val="3"/>
        <charset val="134"/>
      </rPr>
      <t>该项目是否为挂靠项目？</t>
    </r>
    <r>
      <rPr>
        <sz val="11"/>
        <rFont val="Arial Narrow"/>
        <family val="2"/>
      </rPr>
      <t/>
    </r>
    <phoneticPr fontId="7" type="noConversion"/>
  </si>
  <si>
    <r>
      <t>3</t>
    </r>
    <r>
      <rPr>
        <sz val="11"/>
        <rFont val="宋体"/>
        <family val="3"/>
        <charset val="134"/>
      </rPr>
      <t>、其他备注</t>
    </r>
    <phoneticPr fontId="7" type="noConversion"/>
  </si>
  <si>
    <t>4、本函仅为复核账目之用，并非催款结算。若款项在上述日期之后已经结清，仍请及时函复为盼。</t>
    <phoneticPr fontId="5" type="noConversion"/>
  </si>
  <si>
    <r>
      <rPr>
        <sz val="11"/>
        <rFont val="宋体"/>
        <family val="3"/>
        <charset val="134"/>
      </rPr>
      <t>（公司盖章）</t>
    </r>
    <phoneticPr fontId="5" type="noConversion"/>
  </si>
  <si>
    <r>
      <t>2019</t>
    </r>
    <r>
      <rPr>
        <sz val="11"/>
        <rFont val="宋体"/>
        <family val="3"/>
        <charset val="134"/>
      </rPr>
      <t>年</t>
    </r>
    <r>
      <rPr>
        <sz val="11"/>
        <rFont val="Times New Roman"/>
        <family val="1"/>
      </rPr>
      <t>X</t>
    </r>
    <r>
      <rPr>
        <sz val="11"/>
        <rFont val="宋体"/>
        <family val="3"/>
        <charset val="134"/>
      </rPr>
      <t>月</t>
    </r>
    <r>
      <rPr>
        <sz val="11"/>
        <rFont val="Times New Roman"/>
        <family val="1"/>
      </rPr>
      <t>X</t>
    </r>
    <r>
      <rPr>
        <sz val="11"/>
        <rFont val="宋体"/>
        <family val="3"/>
        <charset val="134"/>
      </rPr>
      <t>日</t>
    </r>
    <phoneticPr fontId="7" type="noConversion"/>
  </si>
  <si>
    <r>
      <rPr>
        <sz val="11"/>
        <rFont val="宋体"/>
        <family val="3"/>
        <charset val="134"/>
      </rPr>
      <t>经办人：</t>
    </r>
    <phoneticPr fontId="5" type="noConversion"/>
  </si>
  <si>
    <r>
      <rPr>
        <sz val="11"/>
        <rFont val="宋体"/>
        <family val="3"/>
        <charset val="134"/>
      </rPr>
      <t>信息证明无误</t>
    </r>
    <phoneticPr fontId="5" type="noConversion"/>
  </si>
  <si>
    <r>
      <rPr>
        <sz val="11"/>
        <rFont val="宋体"/>
        <family val="3"/>
        <charset val="134"/>
      </rPr>
      <t>信息不符及需加证明事项</t>
    </r>
    <r>
      <rPr>
        <sz val="11"/>
        <rFont val="Times New Roman"/>
        <family val="1"/>
      </rPr>
      <t>(</t>
    </r>
    <r>
      <rPr>
        <sz val="11"/>
        <rFont val="宋体"/>
        <family val="3"/>
        <charset val="134"/>
      </rPr>
      <t>详细附后</t>
    </r>
    <r>
      <rPr>
        <sz val="11"/>
        <rFont val="Times New Roman"/>
        <family val="1"/>
      </rPr>
      <t>)</t>
    </r>
    <phoneticPr fontId="5" type="noConversion"/>
  </si>
  <si>
    <r>
      <rPr>
        <sz val="11"/>
        <rFont val="宋体"/>
        <family val="3"/>
        <charset val="134"/>
      </rPr>
      <t>（公司盖章）</t>
    </r>
  </si>
  <si>
    <r>
      <rPr>
        <sz val="11"/>
        <rFont val="宋体"/>
        <family val="3"/>
        <charset val="134"/>
      </rPr>
      <t>年</t>
    </r>
    <r>
      <rPr>
        <sz val="11"/>
        <rFont val="Times New Roman"/>
        <family val="1"/>
      </rPr>
      <t xml:space="preserve">    </t>
    </r>
    <r>
      <rPr>
        <sz val="11"/>
        <rFont val="宋体"/>
        <family val="3"/>
        <charset val="134"/>
      </rPr>
      <t>月</t>
    </r>
    <r>
      <rPr>
        <sz val="11"/>
        <rFont val="Times New Roman"/>
        <family val="1"/>
      </rPr>
      <t xml:space="preserve">    </t>
    </r>
    <r>
      <rPr>
        <sz val="11"/>
        <rFont val="宋体"/>
        <family val="3"/>
        <charset val="134"/>
      </rPr>
      <t>日</t>
    </r>
    <phoneticPr fontId="5" type="noConversion"/>
  </si>
  <si>
    <r>
      <t>1</t>
    </r>
    <r>
      <rPr>
        <sz val="11"/>
        <rFont val="宋体"/>
        <family val="3"/>
        <charset val="134"/>
      </rPr>
      <t>、工程项目于往来款项余额</t>
    </r>
    <phoneticPr fontId="5" type="noConversion"/>
  </si>
  <si>
    <t>行数</t>
    <phoneticPr fontId="5" type="noConversion"/>
  </si>
  <si>
    <t>工程项目</t>
    <phoneticPr fontId="3" type="noConversion"/>
  </si>
  <si>
    <t>G</t>
    <phoneticPr fontId="7" type="noConversion"/>
  </si>
  <si>
    <t>J</t>
    <phoneticPr fontId="5" type="noConversion"/>
  </si>
  <si>
    <t>F3</t>
    <phoneticPr fontId="7" type="noConversion"/>
  </si>
  <si>
    <t>G</t>
    <phoneticPr fontId="3" type="noConversion"/>
  </si>
  <si>
    <t>F3</t>
    <phoneticPr fontId="3" type="noConversion"/>
  </si>
  <si>
    <t>数据表列</t>
    <phoneticPr fontId="3" type="noConversion"/>
  </si>
  <si>
    <r>
      <t xml:space="preserve">序号
</t>
    </r>
    <r>
      <rPr>
        <b/>
        <sz val="6"/>
        <color theme="1"/>
        <rFont val="等线"/>
        <family val="3"/>
        <charset val="134"/>
        <scheme val="minor"/>
      </rPr>
      <t>(操作显示后点击跳转)</t>
    </r>
    <phoneticPr fontId="3" type="noConversion"/>
  </si>
  <si>
    <t>步骤2：如果对询证函模板进行了修改或制作，请注意在操作平台修改对应的参数。</t>
    <phoneticPr fontId="3" type="noConversion"/>
  </si>
  <si>
    <t>备注：已添加进模板池的模板在模板表的右侧非打印区域已经列示了对应的模板参数，与数据表的表头信息，如果您自制了通用或常用的询证函模板，欢迎将模板编辑成类似格式并列示出对应参数提供给函证中心丰富标准模板池。</t>
    <phoneticPr fontId="3" type="noConversion"/>
  </si>
  <si>
    <t>步骤3：在操作平台按照对应格式填写对应的数据填写表的名称，与对应模板的行数，如往来余额的数据就填写在示例模板的第11行。可以根据需要生成的函证的事项类别的多少填写多个数据表名称、模板对应行数、表头。</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</si>
</sst>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7" formatCode="&quot;¥&quot;#,##0.00;&quot;¥&quot;\-#,##0.00"/>
    <numFmt numFmtId="43" formatCode="_ * #,##0.00_ ;_ * \-#,##0.00_ ;_ * &quot;-&quot;??_ ;_ @_ "/>
    <numFmt numFmtId="176" formatCode="yyyy&quot;年&quot;m&quot;月&quot;d&quot;日&quot;;@"/>
    <numFmt numFmtId="177" formatCode="#,##0.00_ "/>
    <numFmt numFmtId="178" formatCode="0.00_ "/>
    <numFmt numFmtId="179" formatCode="[$-F800]dddd\,\ mmmm\ dd\,\ yyyy"/>
    <numFmt numFmtId="180" formatCode="0.0000_ "/>
  </numFmts>
  <fonts count="67">
    <font>
      <sz val="11"/>
      <color theme="1"/>
      <name val="等线"/>
      <family val="2"/>
      <scheme val="minor"/>
    </font>
    <font>
      <sz val="11"/>
      <color theme="1"/>
      <name val="等线"/>
      <family val="2"/>
      <scheme val="minor"/>
    </font>
    <font>
      <sz val="12"/>
      <name val="宋体"/>
      <family val="3"/>
      <charset val="134"/>
    </font>
    <font>
      <sz val="9"/>
      <name val="等线"/>
      <family val="3"/>
      <charset val="134"/>
      <scheme val="minor"/>
    </font>
    <font>
      <sz val="10"/>
      <name val="Arial"/>
      <family val="2"/>
    </font>
    <font>
      <sz val="9"/>
      <name val="宋体"/>
      <family val="3"/>
      <charset val="134"/>
    </font>
    <font>
      <sz val="16"/>
      <name val="楷体_GB2312"/>
      <family val="3"/>
      <charset val="134"/>
    </font>
    <font>
      <sz val="9"/>
      <name val="等线"/>
      <family val="2"/>
      <charset val="134"/>
      <scheme val="minor"/>
    </font>
    <font>
      <sz val="11"/>
      <color theme="1"/>
      <name val="等线"/>
      <family val="3"/>
      <charset val="134"/>
      <scheme val="minor"/>
    </font>
    <font>
      <sz val="10"/>
      <name val="Times New Roman"/>
      <family val="1"/>
    </font>
    <font>
      <sz val="10"/>
      <name val="宋体"/>
      <family val="3"/>
      <charset val="134"/>
    </font>
    <font>
      <b/>
      <sz val="10"/>
      <name val="Arial Narrow"/>
      <family val="2"/>
    </font>
    <font>
      <sz val="10"/>
      <name val="Arial Narrow"/>
      <family val="2"/>
    </font>
    <font>
      <u/>
      <sz val="10"/>
      <name val="Times New Roman"/>
      <family val="1"/>
    </font>
    <font>
      <sz val="10"/>
      <name val="宋体"/>
      <family val="1"/>
      <charset val="134"/>
    </font>
    <font>
      <sz val="10"/>
      <name val="Times New Roman"/>
      <family val="3"/>
      <charset val="134"/>
    </font>
    <font>
      <sz val="11"/>
      <color rgb="FFFF0000"/>
      <name val="等线"/>
      <family val="3"/>
      <charset val="134"/>
      <scheme val="minor"/>
    </font>
    <font>
      <sz val="11"/>
      <name val="等线"/>
      <family val="3"/>
      <charset val="134"/>
      <scheme val="minor"/>
    </font>
    <font>
      <u/>
      <sz val="11"/>
      <color theme="10"/>
      <name val="等线"/>
      <family val="2"/>
      <charset val="134"/>
      <scheme val="minor"/>
    </font>
    <font>
      <sz val="30"/>
      <name val="C39HrP36DlTt"/>
    </font>
    <font>
      <sz val="10"/>
      <color theme="1"/>
      <name val="Arial Narrow"/>
      <family val="2"/>
    </font>
    <font>
      <sz val="10"/>
      <color rgb="FFFF0000"/>
      <name val="Arial Narrow"/>
      <family val="2"/>
    </font>
    <font>
      <u/>
      <sz val="11"/>
      <color theme="10"/>
      <name val="等线"/>
      <family val="2"/>
      <scheme val="minor"/>
    </font>
    <font>
      <sz val="20"/>
      <color theme="1"/>
      <name val="等线"/>
      <family val="2"/>
      <scheme val="minor"/>
    </font>
    <font>
      <sz val="11"/>
      <color rgb="FF000000"/>
      <name val="等线"/>
      <family val="3"/>
      <charset val="134"/>
    </font>
    <font>
      <sz val="11"/>
      <color theme="1"/>
      <name val="宋体"/>
      <family val="3"/>
      <charset val="134"/>
    </font>
    <font>
      <b/>
      <sz val="11"/>
      <color theme="1"/>
      <name val="等线"/>
      <family val="3"/>
      <charset val="134"/>
      <scheme val="minor"/>
    </font>
    <font>
      <b/>
      <sz val="26"/>
      <color theme="1"/>
      <name val="等线"/>
      <family val="3"/>
      <charset val="134"/>
      <scheme val="minor"/>
    </font>
    <font>
      <b/>
      <sz val="11"/>
      <name val="宋体"/>
      <family val="3"/>
      <charset val="134"/>
    </font>
    <font>
      <b/>
      <sz val="11"/>
      <name val="Times New Roman"/>
      <family val="1"/>
    </font>
    <font>
      <sz val="9"/>
      <color indexed="81"/>
      <name val="宋体"/>
      <family val="3"/>
      <charset val="134"/>
    </font>
    <font>
      <b/>
      <sz val="9"/>
      <color indexed="81"/>
      <name val="宋体"/>
      <family val="3"/>
      <charset val="134"/>
    </font>
    <font>
      <b/>
      <sz val="14"/>
      <color theme="1"/>
      <name val="Times New Roman"/>
      <family val="1"/>
    </font>
    <font>
      <sz val="36"/>
      <color theme="1"/>
      <name val="C39HrP36DlTt"/>
    </font>
    <font>
      <sz val="12"/>
      <color theme="1"/>
      <name val="Times New Roman"/>
      <family val="1"/>
    </font>
    <font>
      <b/>
      <sz val="14"/>
      <color theme="1"/>
      <name val="宋体"/>
      <family val="3"/>
      <charset val="134"/>
    </font>
    <font>
      <sz val="10"/>
      <color theme="1"/>
      <name val="Arial"/>
      <family val="2"/>
    </font>
    <font>
      <sz val="10"/>
      <color theme="1"/>
      <name val="宋体"/>
      <family val="3"/>
      <charset val="134"/>
    </font>
    <font>
      <b/>
      <sz val="10"/>
      <color theme="1"/>
      <name val="Arial"/>
      <family val="2"/>
    </font>
    <font>
      <b/>
      <u/>
      <sz val="10"/>
      <color theme="1"/>
      <name val="Arial"/>
      <family val="2"/>
    </font>
    <font>
      <sz val="10"/>
      <color theme="0"/>
      <name val="Arial"/>
      <family val="2"/>
    </font>
    <font>
      <sz val="10"/>
      <color theme="1"/>
      <name val="Times New Roman"/>
      <family val="1"/>
    </font>
    <font>
      <sz val="14"/>
      <color theme="1"/>
      <name val="Times New Roman"/>
      <family val="1"/>
    </font>
    <font>
      <b/>
      <sz val="10"/>
      <color indexed="8"/>
      <name val="宋体"/>
      <family val="3"/>
      <charset val="134"/>
    </font>
    <font>
      <b/>
      <sz val="10"/>
      <name val="宋体"/>
      <family val="3"/>
      <charset val="134"/>
    </font>
    <font>
      <b/>
      <u/>
      <sz val="10"/>
      <name val="宋体"/>
      <family val="3"/>
      <charset val="134"/>
    </font>
    <font>
      <sz val="10"/>
      <color theme="1"/>
      <name val="等线"/>
      <family val="3"/>
      <charset val="134"/>
      <scheme val="minor"/>
    </font>
    <font>
      <sz val="10"/>
      <color theme="1"/>
      <name val="宋体"/>
      <family val="1"/>
      <charset val="134"/>
    </font>
    <font>
      <b/>
      <sz val="14"/>
      <name val="Arial"/>
      <family val="2"/>
    </font>
    <font>
      <sz val="28"/>
      <name val="C39HrP36DlTt"/>
    </font>
    <font>
      <b/>
      <sz val="14"/>
      <name val="宋体"/>
      <family val="2"/>
    </font>
    <font>
      <u/>
      <sz val="10"/>
      <name val="Arial"/>
      <family val="2"/>
    </font>
    <font>
      <sz val="10"/>
      <name val="宋体"/>
      <family val="2"/>
    </font>
    <font>
      <b/>
      <sz val="10"/>
      <name val="Arial"/>
      <family val="2"/>
    </font>
    <font>
      <b/>
      <sz val="10"/>
      <name val="宋体"/>
      <family val="2"/>
    </font>
    <font>
      <b/>
      <u/>
      <sz val="10"/>
      <name val="Arial"/>
      <family val="2"/>
    </font>
    <font>
      <sz val="10"/>
      <name val="宋体"/>
      <family val="2"/>
      <charset val="134"/>
    </font>
    <font>
      <b/>
      <sz val="16"/>
      <name val="Times New Roman"/>
      <family val="1"/>
    </font>
    <font>
      <sz val="12"/>
      <name val="Times New Roman"/>
      <family val="1"/>
    </font>
    <font>
      <b/>
      <sz val="16"/>
      <name val="宋体"/>
      <family val="3"/>
      <charset val="134"/>
    </font>
    <font>
      <sz val="11"/>
      <name val="Times New Roman"/>
      <family val="1"/>
    </font>
    <font>
      <sz val="11"/>
      <name val="宋体"/>
      <family val="3"/>
      <charset val="134"/>
    </font>
    <font>
      <sz val="12"/>
      <name val="等线"/>
      <family val="3"/>
      <charset val="134"/>
      <scheme val="minor"/>
    </font>
    <font>
      <sz val="12"/>
      <name val="Arial"/>
      <family val="2"/>
    </font>
    <font>
      <sz val="11"/>
      <name val="Arial Narrow"/>
      <family val="2"/>
    </font>
    <font>
      <sz val="11"/>
      <name val="宋体"/>
      <family val="1"/>
      <charset val="134"/>
    </font>
    <font>
      <b/>
      <sz val="6"/>
      <color theme="1"/>
      <name val="等线"/>
      <family val="3"/>
      <charset val="134"/>
      <scheme val="minor"/>
    </font>
  </fonts>
  <fills count="5">
    <fill>
      <patternFill patternType="none"/>
    </fill>
    <fill>
      <patternFill patternType="gray125"/>
    </fill>
    <fill>
      <patternFill patternType="solid">
        <fgColor theme="5" tint="0.79998168889431442"/>
        <bgColor indexed="64"/>
      </patternFill>
    </fill>
    <fill>
      <patternFill patternType="solid">
        <fgColor theme="0"/>
        <bgColor indexed="64"/>
      </patternFill>
    </fill>
    <fill>
      <patternFill patternType="solid">
        <fgColor theme="8" tint="0.79998168889431442"/>
        <bgColor indexed="64"/>
      </patternFill>
    </fill>
  </fills>
  <borders count="50">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thin">
        <color auto="1"/>
      </right>
      <top style="thin">
        <color auto="1"/>
      </top>
      <bottom style="medium">
        <color auto="1"/>
      </bottom>
      <diagonal/>
    </border>
    <border>
      <left style="thin">
        <color auto="1"/>
      </left>
      <right/>
      <top style="medium">
        <color auto="1"/>
      </top>
      <bottom/>
      <diagonal/>
    </border>
    <border>
      <left/>
      <right style="thin">
        <color auto="1"/>
      </right>
      <top style="medium">
        <color auto="1"/>
      </top>
      <bottom/>
      <diagonal/>
    </border>
    <border>
      <left/>
      <right style="medium">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bottom style="medium">
        <color auto="1"/>
      </bottom>
      <diagonal/>
    </border>
    <border>
      <left/>
      <right style="thin">
        <color auto="1"/>
      </right>
      <top/>
      <bottom style="medium">
        <color auto="1"/>
      </bottom>
      <diagonal/>
    </border>
    <border>
      <left/>
      <right style="medium">
        <color auto="1"/>
      </right>
      <top style="thin">
        <color auto="1"/>
      </top>
      <bottom style="medium">
        <color auto="1"/>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2">
    <xf numFmtId="0" fontId="0" fillId="0" borderId="0"/>
    <xf numFmtId="43" fontId="1" fillId="0" borderId="0" applyFont="0" applyFill="0" applyBorder="0" applyAlignment="0" applyProtection="0">
      <alignment vertical="center"/>
    </xf>
    <xf numFmtId="0" fontId="2" fillId="0" borderId="0">
      <alignment vertical="center"/>
    </xf>
    <xf numFmtId="0" fontId="2" fillId="0" borderId="0"/>
    <xf numFmtId="0" fontId="22" fillId="0" borderId="0" applyNumberFormat="0" applyFill="0" applyBorder="0" applyAlignment="0" applyProtection="0"/>
    <xf numFmtId="0" fontId="2" fillId="0" borderId="0">
      <alignment vertical="center"/>
    </xf>
    <xf numFmtId="0" fontId="2" fillId="0" borderId="0"/>
    <xf numFmtId="0" fontId="2" fillId="0" borderId="0">
      <alignment vertical="center"/>
    </xf>
    <xf numFmtId="0" fontId="2" fillId="0" borderId="0"/>
    <xf numFmtId="43" fontId="8" fillId="0" borderId="0" applyFont="0" applyFill="0" applyBorder="0" applyAlignment="0" applyProtection="0">
      <alignment vertical="center"/>
    </xf>
    <xf numFmtId="9" fontId="8" fillId="0" borderId="0" applyFont="0" applyFill="0" applyBorder="0" applyAlignment="0" applyProtection="0">
      <alignment vertical="center"/>
    </xf>
    <xf numFmtId="0" fontId="2" fillId="0" borderId="0">
      <alignment vertical="center"/>
    </xf>
  </cellStyleXfs>
  <cellXfs count="463">
    <xf numFmtId="0" fontId="0" fillId="0" borderId="0" xfId="0"/>
    <xf numFmtId="0" fontId="10" fillId="0" borderId="0" xfId="2" applyFont="1" applyFill="1" applyAlignment="1">
      <alignment horizontal="left" vertical="center"/>
    </xf>
    <xf numFmtId="0" fontId="9" fillId="0" borderId="0" xfId="2" applyFont="1" applyFill="1" applyAlignment="1">
      <alignment horizontal="centerContinuous" vertical="center"/>
    </xf>
    <xf numFmtId="177" fontId="9" fillId="0" borderId="2" xfId="2" applyNumberFormat="1" applyFont="1" applyFill="1" applyBorder="1" applyAlignment="1" applyProtection="1">
      <alignment horizontal="right" vertical="center"/>
      <protection locked="0"/>
    </xf>
    <xf numFmtId="7" fontId="9" fillId="0" borderId="2" xfId="2" applyNumberFormat="1" applyFont="1" applyFill="1" applyBorder="1" applyAlignment="1" applyProtection="1">
      <alignment horizontal="right" vertical="center"/>
      <protection locked="0"/>
    </xf>
    <xf numFmtId="14" fontId="10" fillId="0" borderId="2" xfId="2" applyNumberFormat="1" applyFont="1" applyFill="1" applyBorder="1" applyAlignment="1" applyProtection="1">
      <alignment horizontal="center" vertical="center"/>
      <protection locked="0"/>
    </xf>
    <xf numFmtId="177" fontId="9" fillId="0" borderId="0" xfId="2" applyNumberFormat="1" applyFont="1" applyFill="1" applyBorder="1" applyAlignment="1" applyProtection="1">
      <alignment horizontal="right" vertical="center"/>
      <protection locked="0"/>
    </xf>
    <xf numFmtId="7" fontId="9" fillId="0" borderId="0" xfId="2" applyNumberFormat="1" applyFont="1" applyFill="1" applyBorder="1" applyAlignment="1" applyProtection="1">
      <alignment horizontal="right" vertical="center"/>
      <protection locked="0"/>
    </xf>
    <xf numFmtId="14" fontId="10" fillId="0" borderId="2" xfId="2" applyNumberFormat="1" applyFont="1" applyFill="1" applyBorder="1" applyAlignment="1" applyProtection="1">
      <alignment vertical="center"/>
      <protection locked="0"/>
    </xf>
    <xf numFmtId="14" fontId="10" fillId="0" borderId="0" xfId="2" applyNumberFormat="1" applyFont="1" applyFill="1" applyBorder="1" applyAlignment="1" applyProtection="1">
      <alignment vertical="center"/>
      <protection locked="0"/>
    </xf>
    <xf numFmtId="0" fontId="11" fillId="0" borderId="0" xfId="2" applyFont="1" applyAlignment="1">
      <alignment horizontal="centerContinuous" vertical="center"/>
    </xf>
    <xf numFmtId="0" fontId="12" fillId="0" borderId="0" xfId="2" applyFont="1">
      <alignment vertical="center"/>
    </xf>
    <xf numFmtId="0" fontId="9" fillId="0" borderId="0" xfId="2" applyFont="1">
      <alignment vertical="center"/>
    </xf>
    <xf numFmtId="0" fontId="13" fillId="0" borderId="0" xfId="2" applyFont="1">
      <alignment vertical="center"/>
    </xf>
    <xf numFmtId="0" fontId="9" fillId="0" borderId="0" xfId="2" applyFont="1" applyAlignment="1">
      <alignment horizontal="right" vertical="center"/>
    </xf>
    <xf numFmtId="0" fontId="14" fillId="0" borderId="0" xfId="2" quotePrefix="1" applyFont="1" applyAlignment="1">
      <alignment horizontal="left" vertical="center"/>
    </xf>
    <xf numFmtId="0" fontId="9" fillId="0" borderId="0" xfId="2" quotePrefix="1" applyFont="1" applyAlignment="1">
      <alignment horizontal="left" vertical="center"/>
    </xf>
    <xf numFmtId="0" fontId="9" fillId="0" borderId="0" xfId="2" applyFont="1" applyAlignment="1">
      <alignment horizontal="left" vertical="distributed" wrapText="1"/>
    </xf>
    <xf numFmtId="0" fontId="10" fillId="0" borderId="0" xfId="2" applyFont="1" applyAlignment="1">
      <alignment vertical="distributed" wrapText="1"/>
    </xf>
    <xf numFmtId="0" fontId="14" fillId="0" borderId="0" xfId="2" applyFont="1" applyAlignment="1">
      <alignment horizontal="left" vertical="distributed"/>
    </xf>
    <xf numFmtId="0" fontId="10" fillId="0" borderId="0" xfId="2" applyFont="1" applyAlignment="1">
      <alignment horizontal="left" vertical="center"/>
    </xf>
    <xf numFmtId="0" fontId="10" fillId="0" borderId="0" xfId="2" applyFont="1">
      <alignment vertical="center"/>
    </xf>
    <xf numFmtId="0" fontId="9" fillId="0" borderId="0" xfId="2" applyFont="1" applyAlignment="1">
      <alignment horizontal="left" vertical="center"/>
    </xf>
    <xf numFmtId="49" fontId="9" fillId="0" borderId="0" xfId="2" applyNumberFormat="1" applyFont="1">
      <alignment vertical="center"/>
    </xf>
    <xf numFmtId="0" fontId="9" fillId="0" borderId="0" xfId="2" applyFont="1" applyAlignment="1">
      <alignment horizontal="centerContinuous" vertical="center"/>
    </xf>
    <xf numFmtId="0" fontId="9" fillId="0" borderId="0" xfId="2" applyFont="1" applyAlignment="1">
      <alignment horizontal="center" vertical="center"/>
    </xf>
    <xf numFmtId="0" fontId="9" fillId="0" borderId="2" xfId="2" applyFont="1" applyBorder="1" applyAlignment="1">
      <alignment horizontal="center" vertical="center" wrapText="1"/>
    </xf>
    <xf numFmtId="43" fontId="9" fillId="0" borderId="2" xfId="1" applyFont="1" applyBorder="1" applyAlignment="1">
      <alignment horizontal="center" vertical="center"/>
    </xf>
    <xf numFmtId="0" fontId="9" fillId="0" borderId="0" xfId="2" applyFont="1" applyAlignment="1">
      <alignment vertical="center" wrapText="1"/>
    </xf>
    <xf numFmtId="43" fontId="9" fillId="0" borderId="0" xfId="1" applyFont="1" applyAlignment="1">
      <alignment horizontal="centerContinuous" vertical="center"/>
    </xf>
    <xf numFmtId="43" fontId="9" fillId="0" borderId="2" xfId="1" applyFont="1" applyBorder="1" applyAlignment="1">
      <alignment horizontal="center" vertical="center" wrapText="1"/>
    </xf>
    <xf numFmtId="43" fontId="9" fillId="0" borderId="2" xfId="1" applyFont="1" applyFill="1" applyBorder="1" applyAlignment="1">
      <alignment horizontal="left" vertical="center"/>
    </xf>
    <xf numFmtId="43" fontId="9" fillId="0" borderId="2" xfId="1" applyFont="1" applyFill="1" applyBorder="1" applyAlignment="1">
      <alignment vertical="center"/>
    </xf>
    <xf numFmtId="43" fontId="10" fillId="0" borderId="2" xfId="1" applyFont="1" applyBorder="1" applyAlignment="1">
      <alignment horizontal="center" vertical="center" wrapText="1"/>
    </xf>
    <xf numFmtId="43" fontId="14" fillId="0" borderId="2" xfId="1" applyFont="1" applyBorder="1" applyAlignment="1">
      <alignment horizontal="center" vertical="center" wrapText="1"/>
    </xf>
    <xf numFmtId="0" fontId="15" fillId="0" borderId="0" xfId="2" applyFont="1" applyAlignment="1">
      <alignment horizontal="right" vertical="center"/>
    </xf>
    <xf numFmtId="0" fontId="9" fillId="0" borderId="3" xfId="2" applyFont="1" applyBorder="1">
      <alignment vertical="center"/>
    </xf>
    <xf numFmtId="0" fontId="9" fillId="0" borderId="4" xfId="2" applyFont="1" applyBorder="1">
      <alignment vertical="center"/>
    </xf>
    <xf numFmtId="0" fontId="9" fillId="0" borderId="5" xfId="2" applyFont="1" applyBorder="1">
      <alignment vertical="center"/>
    </xf>
    <xf numFmtId="0" fontId="9" fillId="0" borderId="4" xfId="2" quotePrefix="1" applyFont="1" applyBorder="1" applyAlignment="1">
      <alignment horizontal="left" vertical="center"/>
    </xf>
    <xf numFmtId="0" fontId="9" fillId="0" borderId="6" xfId="2" applyFont="1" applyBorder="1">
      <alignment vertical="center"/>
    </xf>
    <xf numFmtId="0" fontId="9" fillId="0" borderId="7" xfId="2" applyFont="1" applyBorder="1">
      <alignment vertical="center"/>
    </xf>
    <xf numFmtId="0" fontId="9" fillId="0" borderId="0" xfId="3" applyFont="1" applyAlignment="1">
      <alignment vertical="center"/>
    </xf>
    <xf numFmtId="0" fontId="9" fillId="0" borderId="0" xfId="3" applyFont="1" applyAlignment="1">
      <alignment horizontal="right" vertical="center"/>
    </xf>
    <xf numFmtId="0" fontId="9" fillId="0" borderId="8" xfId="2" applyFont="1" applyBorder="1">
      <alignment vertical="center"/>
    </xf>
    <xf numFmtId="0" fontId="9" fillId="0" borderId="1" xfId="2" applyFont="1" applyBorder="1">
      <alignment vertical="center"/>
    </xf>
    <xf numFmtId="0" fontId="9" fillId="0" borderId="9" xfId="2" applyFont="1" applyBorder="1">
      <alignment vertical="center"/>
    </xf>
    <xf numFmtId="178" fontId="8" fillId="0" borderId="0" xfId="0" applyNumberFormat="1" applyFont="1" applyAlignment="1">
      <alignment vertical="center"/>
    </xf>
    <xf numFmtId="0" fontId="16" fillId="0" borderId="0" xfId="0" applyFont="1" applyAlignment="1">
      <alignment vertical="center"/>
    </xf>
    <xf numFmtId="43" fontId="17" fillId="0" borderId="0" xfId="1" applyFont="1">
      <alignment vertical="center"/>
    </xf>
    <xf numFmtId="43" fontId="18" fillId="0" borderId="0" xfId="1" applyFont="1">
      <alignment vertical="center"/>
    </xf>
    <xf numFmtId="49" fontId="8" fillId="0" borderId="0" xfId="0" applyNumberFormat="1" applyFont="1" applyAlignment="1">
      <alignment vertical="center"/>
    </xf>
    <xf numFmtId="43" fontId="16" fillId="0" borderId="0" xfId="1" applyFont="1">
      <alignment vertical="center"/>
    </xf>
    <xf numFmtId="0" fontId="14" fillId="0" borderId="0" xfId="2" applyFont="1" applyFill="1" applyAlignment="1">
      <alignment horizontal="left" vertical="center"/>
    </xf>
    <xf numFmtId="0" fontId="8" fillId="2" borderId="0" xfId="0" applyFont="1" applyFill="1" applyAlignment="1">
      <alignment horizontal="center" vertical="center" wrapText="1"/>
    </xf>
    <xf numFmtId="0" fontId="8" fillId="2" borderId="0" xfId="0" applyFont="1" applyFill="1" applyAlignment="1">
      <alignment vertical="center"/>
    </xf>
    <xf numFmtId="0" fontId="8" fillId="2" borderId="0" xfId="0" applyFont="1" applyFill="1" applyAlignment="1">
      <alignment horizontal="center" vertical="center"/>
    </xf>
    <xf numFmtId="43" fontId="8" fillId="2" borderId="0" xfId="1" applyFont="1" applyFill="1" applyAlignment="1">
      <alignment horizontal="center" vertical="center" wrapText="1"/>
    </xf>
    <xf numFmtId="14" fontId="10" fillId="0" borderId="11" xfId="2" applyNumberFormat="1" applyFont="1" applyFill="1" applyBorder="1" applyAlignment="1" applyProtection="1">
      <alignment vertical="center"/>
      <protection locked="0"/>
    </xf>
    <xf numFmtId="43" fontId="10" fillId="0" borderId="11" xfId="1" applyFont="1" applyBorder="1" applyAlignment="1">
      <alignment vertical="center" wrapText="1"/>
    </xf>
    <xf numFmtId="0" fontId="19" fillId="0" borderId="0" xfId="2" applyFont="1" applyAlignment="1">
      <alignment horizontal="right" vertical="center"/>
    </xf>
    <xf numFmtId="0" fontId="12" fillId="3" borderId="2" xfId="2" applyFont="1" applyFill="1" applyBorder="1" applyAlignment="1">
      <alignment horizontal="centerContinuous" vertical="center" wrapText="1"/>
    </xf>
    <xf numFmtId="0" fontId="20" fillId="0" borderId="0" xfId="0" applyFont="1" applyAlignment="1">
      <alignment wrapText="1"/>
    </xf>
    <xf numFmtId="177" fontId="12" fillId="0" borderId="2" xfId="2" applyNumberFormat="1" applyFont="1" applyFill="1" applyBorder="1" applyAlignment="1" applyProtection="1">
      <alignment horizontal="right" vertical="center"/>
      <protection locked="0"/>
    </xf>
    <xf numFmtId="0" fontId="21" fillId="0" borderId="0" xfId="0" applyFont="1" applyAlignment="1">
      <alignment vertical="center"/>
    </xf>
    <xf numFmtId="43" fontId="22" fillId="2" borderId="0" xfId="4" applyNumberFormat="1" applyFill="1" applyAlignment="1">
      <alignment horizontal="center" vertical="center" wrapText="1"/>
    </xf>
    <xf numFmtId="0" fontId="22" fillId="0" borderId="0" xfId="4" applyAlignment="1">
      <alignment vertical="center"/>
    </xf>
    <xf numFmtId="43" fontId="8" fillId="3" borderId="0" xfId="1" applyFont="1" applyFill="1" applyAlignment="1">
      <alignment horizontal="center" vertical="center" wrapText="1"/>
    </xf>
    <xf numFmtId="0" fontId="0" fillId="2" borderId="0" xfId="0" applyFill="1"/>
    <xf numFmtId="0" fontId="0" fillId="2" borderId="0" xfId="0" applyFill="1" applyAlignment="1">
      <alignment horizontal="center"/>
    </xf>
    <xf numFmtId="43" fontId="8" fillId="2" borderId="0" xfId="1" applyFont="1" applyFill="1" applyAlignment="1">
      <alignment horizontal="left" vertical="center" wrapText="1"/>
    </xf>
    <xf numFmtId="0" fontId="0" fillId="2" borderId="0" xfId="0" applyFill="1" applyAlignment="1">
      <alignment horizontal="center" vertical="center"/>
    </xf>
    <xf numFmtId="0" fontId="10" fillId="0" borderId="2" xfId="2" applyFont="1" applyFill="1" applyBorder="1" applyAlignment="1">
      <alignment horizontal="centerContinuous" vertical="center"/>
    </xf>
    <xf numFmtId="0" fontId="26" fillId="4" borderId="0" xfId="0" applyFont="1" applyFill="1"/>
    <xf numFmtId="0" fontId="0" fillId="4" borderId="0" xfId="0" applyFill="1"/>
    <xf numFmtId="0" fontId="0" fillId="4" borderId="0" xfId="0" applyFill="1" applyAlignment="1">
      <alignment horizontal="center"/>
    </xf>
    <xf numFmtId="14" fontId="0" fillId="4" borderId="0" xfId="0" applyNumberFormat="1" applyFill="1"/>
    <xf numFmtId="0" fontId="0" fillId="4" borderId="0" xfId="0" applyFill="1" applyAlignment="1">
      <alignment horizontal="left" wrapText="1"/>
    </xf>
    <xf numFmtId="0" fontId="0" fillId="4" borderId="0" xfId="0" applyFill="1" applyAlignment="1">
      <alignment horizontal="left"/>
    </xf>
    <xf numFmtId="0" fontId="0" fillId="4" borderId="0" xfId="0" applyFill="1" applyAlignment="1">
      <alignment horizontal="left" wrapText="1"/>
    </xf>
    <xf numFmtId="0" fontId="27" fillId="4" borderId="0" xfId="0" applyFont="1" applyFill="1" applyAlignment="1">
      <alignment horizontal="center"/>
    </xf>
    <xf numFmtId="0" fontId="10" fillId="0" borderId="0" xfId="2" applyFont="1" applyAlignment="1">
      <alignment horizontal="center" vertical="center"/>
    </xf>
    <xf numFmtId="0" fontId="22" fillId="2" borderId="0" xfId="4" applyFill="1" applyAlignment="1">
      <alignment vertical="center"/>
    </xf>
    <xf numFmtId="0" fontId="22" fillId="2" borderId="0" xfId="4" applyFill="1" applyAlignment="1">
      <alignment horizontal="center" vertical="center"/>
    </xf>
    <xf numFmtId="43" fontId="8" fillId="2" borderId="0" xfId="1" applyFont="1" applyFill="1" applyAlignment="1">
      <alignment horizontal="center" vertical="center" wrapText="1"/>
    </xf>
    <xf numFmtId="43" fontId="8" fillId="2" borderId="0" xfId="1" applyFont="1" applyFill="1" applyAlignment="1">
      <alignment horizontal="center" vertical="center"/>
    </xf>
    <xf numFmtId="0" fontId="0" fillId="4" borderId="0" xfId="0" applyFill="1" applyAlignment="1">
      <alignment horizontal="left" wrapText="1"/>
    </xf>
    <xf numFmtId="43" fontId="8" fillId="3" borderId="0" xfId="1" applyFont="1" applyFill="1" applyAlignment="1">
      <alignment horizontal="left" vertical="center"/>
    </xf>
    <xf numFmtId="0" fontId="0" fillId="4" borderId="0" xfId="0" applyFill="1" applyBorder="1"/>
    <xf numFmtId="0" fontId="0" fillId="4" borderId="7" xfId="0" applyFill="1" applyBorder="1"/>
    <xf numFmtId="0" fontId="0" fillId="3" borderId="7" xfId="0" applyFill="1" applyBorder="1"/>
    <xf numFmtId="0" fontId="0" fillId="4" borderId="0" xfId="0" applyFill="1" applyAlignment="1">
      <alignment wrapText="1"/>
    </xf>
    <xf numFmtId="0" fontId="0" fillId="4" borderId="0" xfId="0" applyFill="1" applyBorder="1" applyAlignment="1">
      <alignment horizontal="left"/>
    </xf>
    <xf numFmtId="0" fontId="0" fillId="0" borderId="0" xfId="0" applyAlignment="1">
      <alignment horizontal="left"/>
    </xf>
    <xf numFmtId="43" fontId="16" fillId="2" borderId="0" xfId="1" applyFont="1" applyFill="1" applyAlignment="1">
      <alignment horizontal="left" vertical="center" wrapText="1"/>
    </xf>
    <xf numFmtId="0" fontId="32" fillId="0" borderId="0" xfId="2" applyFont="1">
      <alignment vertical="center"/>
    </xf>
    <xf numFmtId="0" fontId="34" fillId="0" borderId="0" xfId="2" applyFont="1">
      <alignment vertical="center"/>
    </xf>
    <xf numFmtId="0" fontId="36" fillId="0" borderId="0" xfId="2" applyFont="1" applyAlignment="1">
      <alignment horizontal="centerContinuous" vertical="center"/>
    </xf>
    <xf numFmtId="0" fontId="36" fillId="0" borderId="0" xfId="2" applyFont="1">
      <alignment vertical="center"/>
    </xf>
    <xf numFmtId="0" fontId="37" fillId="0" borderId="0" xfId="2" applyFont="1" applyAlignment="1">
      <alignment horizontal="right" vertical="center"/>
    </xf>
    <xf numFmtId="0" fontId="38" fillId="0" borderId="0" xfId="2" applyFont="1" applyAlignment="1">
      <alignment horizontal="left" vertical="center"/>
    </xf>
    <xf numFmtId="0" fontId="39" fillId="0" borderId="0" xfId="2" applyFont="1">
      <alignment vertical="center"/>
    </xf>
    <xf numFmtId="0" fontId="40" fillId="0" borderId="0" xfId="2" applyFont="1" applyAlignment="1">
      <alignment horizontal="right" vertical="center"/>
    </xf>
    <xf numFmtId="0" fontId="40" fillId="0" borderId="0" xfId="2" applyFont="1" applyAlignment="1">
      <alignment horizontal="center" vertical="center"/>
    </xf>
    <xf numFmtId="0" fontId="38" fillId="0" borderId="0" xfId="8" applyFont="1" applyAlignment="1">
      <alignment horizontal="left" vertical="center"/>
    </xf>
    <xf numFmtId="0" fontId="37" fillId="0" borderId="0" xfId="2" applyFont="1">
      <alignment vertical="center"/>
    </xf>
    <xf numFmtId="0" fontId="36" fillId="0" borderId="0" xfId="2" applyFont="1" applyAlignment="1">
      <alignment horizontal="right" vertical="center"/>
    </xf>
    <xf numFmtId="0" fontId="36" fillId="0" borderId="0" xfId="2" applyFont="1" applyAlignment="1">
      <alignment horizontal="left" vertical="center"/>
    </xf>
    <xf numFmtId="0" fontId="42" fillId="0" borderId="0" xfId="2" applyFont="1">
      <alignment vertical="center"/>
    </xf>
    <xf numFmtId="49" fontId="36" fillId="0" borderId="0" xfId="2" applyNumberFormat="1" applyFont="1">
      <alignment vertical="center"/>
    </xf>
    <xf numFmtId="0" fontId="38" fillId="0" borderId="0" xfId="2" applyFont="1">
      <alignment vertical="center"/>
    </xf>
    <xf numFmtId="0" fontId="44" fillId="0" borderId="0" xfId="3" applyFont="1" applyAlignment="1">
      <alignment vertical="center"/>
    </xf>
    <xf numFmtId="0" fontId="44" fillId="0" borderId="0" xfId="3" applyFont="1" applyAlignment="1">
      <alignment horizontal="right" vertical="center"/>
    </xf>
    <xf numFmtId="0" fontId="45" fillId="0" borderId="0" xfId="3" applyFont="1" applyAlignment="1">
      <alignment horizontal="center" vertical="center"/>
    </xf>
    <xf numFmtId="0" fontId="44" fillId="0" borderId="0" xfId="3" applyFont="1" applyAlignment="1">
      <alignment horizontal="center" vertical="center"/>
    </xf>
    <xf numFmtId="0" fontId="44" fillId="0" borderId="13" xfId="3" applyFont="1" applyBorder="1" applyAlignment="1">
      <alignment vertical="center"/>
    </xf>
    <xf numFmtId="0" fontId="10" fillId="0" borderId="21" xfId="2" applyFont="1" applyBorder="1" applyAlignment="1">
      <alignment horizontal="center" vertical="center"/>
    </xf>
    <xf numFmtId="0" fontId="10" fillId="0" borderId="24" xfId="2" applyFont="1" applyBorder="1" applyAlignment="1">
      <alignment horizontal="center" vertical="center" wrapText="1"/>
    </xf>
    <xf numFmtId="0" fontId="10" fillId="0" borderId="25" xfId="2" applyFont="1" applyBorder="1" applyAlignment="1">
      <alignment horizontal="center" vertical="center" wrapText="1"/>
    </xf>
    <xf numFmtId="0" fontId="10" fillId="0" borderId="24" xfId="5" applyFont="1" applyBorder="1" applyAlignment="1">
      <alignment horizontal="center" vertical="center" wrapText="1"/>
    </xf>
    <xf numFmtId="0" fontId="10" fillId="0" borderId="26" xfId="2" applyFont="1" applyBorder="1" applyAlignment="1">
      <alignment horizontal="center" vertical="center" wrapText="1"/>
    </xf>
    <xf numFmtId="0" fontId="10" fillId="0" borderId="27" xfId="2" applyFont="1" applyBorder="1" applyAlignment="1">
      <alignment vertical="center" wrapText="1"/>
    </xf>
    <xf numFmtId="0" fontId="10" fillId="0" borderId="30" xfId="2" applyFont="1" applyBorder="1" applyAlignment="1">
      <alignment horizontal="center" vertical="center" wrapText="1"/>
    </xf>
    <xf numFmtId="0" fontId="10" fillId="0" borderId="30" xfId="2" applyFont="1" applyBorder="1" applyAlignment="1">
      <alignment horizontal="justify" vertical="center" wrapText="1"/>
    </xf>
    <xf numFmtId="10" fontId="10" fillId="0" borderId="30" xfId="2" applyNumberFormat="1" applyFont="1" applyBorder="1" applyAlignment="1">
      <alignment horizontal="center" vertical="center" wrapText="1"/>
    </xf>
    <xf numFmtId="177" fontId="10" fillId="0" borderId="30" xfId="2" applyNumberFormat="1" applyFont="1" applyBorder="1" applyAlignment="1">
      <alignment horizontal="right" vertical="center" wrapText="1"/>
    </xf>
    <xf numFmtId="49" fontId="10" fillId="0" borderId="30" xfId="2" applyNumberFormat="1" applyFont="1" applyBorder="1" applyAlignment="1">
      <alignment horizontal="center" vertical="center" wrapText="1"/>
    </xf>
    <xf numFmtId="0" fontId="10" fillId="0" borderId="31" xfId="2" applyFont="1" applyBorder="1" applyAlignment="1">
      <alignment vertical="center" wrapText="1"/>
    </xf>
    <xf numFmtId="0" fontId="10" fillId="0" borderId="15" xfId="2" applyFont="1" applyBorder="1" applyAlignment="1">
      <alignment vertical="center" wrapText="1"/>
    </xf>
    <xf numFmtId="0" fontId="10" fillId="0" borderId="0" xfId="2" applyFont="1" applyAlignment="1">
      <alignment vertical="center" wrapText="1"/>
    </xf>
    <xf numFmtId="0" fontId="44" fillId="0" borderId="0" xfId="2" applyFont="1">
      <alignment vertical="center"/>
    </xf>
    <xf numFmtId="0" fontId="10" fillId="0" borderId="21" xfId="2" applyFont="1" applyBorder="1" applyAlignment="1">
      <alignment horizontal="center" vertical="center" wrapText="1"/>
    </xf>
    <xf numFmtId="0" fontId="10" fillId="0" borderId="32" xfId="2" applyFont="1" applyBorder="1" applyAlignment="1">
      <alignment horizontal="center" vertical="center" wrapText="1"/>
    </xf>
    <xf numFmtId="0" fontId="10" fillId="0" borderId="2" xfId="2" applyFont="1" applyBorder="1" applyAlignment="1">
      <alignment horizontal="center" vertical="center" wrapText="1"/>
    </xf>
    <xf numFmtId="0" fontId="10" fillId="0" borderId="34" xfId="2" applyFont="1" applyBorder="1" applyAlignment="1">
      <alignment horizontal="center" vertical="center" wrapText="1"/>
    </xf>
    <xf numFmtId="0" fontId="10" fillId="0" borderId="35" xfId="2" applyFont="1" applyBorder="1" applyAlignment="1">
      <alignment vertical="center" wrapText="1"/>
    </xf>
    <xf numFmtId="49" fontId="10" fillId="0" borderId="30" xfId="2" applyNumberFormat="1" applyFont="1" applyBorder="1" applyAlignment="1">
      <alignment horizontal="justify" vertical="center" wrapText="1"/>
    </xf>
    <xf numFmtId="0" fontId="10" fillId="0" borderId="31" xfId="2" applyFont="1" applyBorder="1" applyAlignment="1">
      <alignment horizontal="justify" vertical="center" wrapText="1"/>
    </xf>
    <xf numFmtId="0" fontId="10" fillId="0" borderId="0" xfId="2" applyFont="1" applyAlignment="1">
      <alignment horizontal="left" vertical="center" wrapText="1"/>
    </xf>
    <xf numFmtId="0" fontId="44" fillId="0" borderId="0" xfId="2" applyFont="1" applyAlignment="1">
      <alignment horizontal="left" vertical="center"/>
    </xf>
    <xf numFmtId="0" fontId="10" fillId="0" borderId="24"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0" xfId="0" applyFont="1" applyBorder="1" applyAlignment="1">
      <alignment horizontal="center" vertical="center" wrapText="1"/>
    </xf>
    <xf numFmtId="49" fontId="10" fillId="0" borderId="34" xfId="2" applyNumberFormat="1" applyFont="1" applyBorder="1" applyAlignment="1">
      <alignment horizontal="center" vertical="center"/>
    </xf>
    <xf numFmtId="49" fontId="10" fillId="0" borderId="31" xfId="2" applyNumberFormat="1" applyFont="1" applyBorder="1" applyAlignment="1">
      <alignment horizontal="center" vertical="center"/>
    </xf>
    <xf numFmtId="10" fontId="10" fillId="0" borderId="2" xfId="2" applyNumberFormat="1" applyFont="1" applyBorder="1" applyAlignment="1">
      <alignment horizontal="center" vertical="center" wrapText="1"/>
    </xf>
    <xf numFmtId="49" fontId="10" fillId="0" borderId="34" xfId="2" applyNumberFormat="1" applyFont="1" applyBorder="1" applyAlignment="1">
      <alignment horizontal="center" vertical="center" wrapText="1"/>
    </xf>
    <xf numFmtId="49" fontId="10" fillId="0" borderId="31" xfId="2" applyNumberFormat="1" applyFont="1" applyBorder="1" applyAlignment="1">
      <alignment horizontal="center" vertical="center" wrapText="1"/>
    </xf>
    <xf numFmtId="0" fontId="10" fillId="0" borderId="33" xfId="2" applyFont="1" applyBorder="1" applyAlignment="1">
      <alignment horizontal="center" vertical="center" wrapText="1"/>
    </xf>
    <xf numFmtId="0" fontId="10" fillId="0" borderId="35" xfId="2" applyFont="1" applyBorder="1" applyAlignment="1">
      <alignment horizontal="center" vertical="center" wrapText="1"/>
    </xf>
    <xf numFmtId="180" fontId="10" fillId="0" borderId="2" xfId="2" applyNumberFormat="1" applyFont="1" applyBorder="1" applyAlignment="1">
      <alignment horizontal="center" vertical="center" wrapText="1"/>
    </xf>
    <xf numFmtId="180" fontId="10" fillId="0" borderId="30" xfId="2" applyNumberFormat="1" applyFont="1" applyBorder="1" applyAlignment="1">
      <alignment horizontal="center" vertical="center" wrapText="1"/>
    </xf>
    <xf numFmtId="0" fontId="10" fillId="0" borderId="0" xfId="2" applyFont="1" applyAlignment="1">
      <alignment horizontal="center" vertical="center" wrapText="1"/>
    </xf>
    <xf numFmtId="49" fontId="10" fillId="0" borderId="0" xfId="2" applyNumberFormat="1" applyFont="1" applyAlignment="1">
      <alignment horizontal="center" vertical="center" wrapText="1"/>
    </xf>
    <xf numFmtId="177" fontId="10" fillId="0" borderId="0" xfId="2" applyNumberFormat="1" applyFont="1" applyAlignment="1">
      <alignment horizontal="right" vertical="center" wrapText="1"/>
    </xf>
    <xf numFmtId="0" fontId="10" fillId="0" borderId="0" xfId="2" applyFont="1" applyAlignment="1">
      <alignment horizontal="right" vertical="center"/>
    </xf>
    <xf numFmtId="0" fontId="44" fillId="0" borderId="14" xfId="2" applyFont="1" applyBorder="1">
      <alignment vertical="center"/>
    </xf>
    <xf numFmtId="0" fontId="44" fillId="0" borderId="15" xfId="2" applyFont="1" applyBorder="1">
      <alignment vertical="center"/>
    </xf>
    <xf numFmtId="0" fontId="44" fillId="0" borderId="16" xfId="2" applyFont="1" applyBorder="1">
      <alignment vertical="center"/>
    </xf>
    <xf numFmtId="0" fontId="44" fillId="0" borderId="17" xfId="2" applyFont="1" applyBorder="1">
      <alignment vertical="center"/>
    </xf>
    <xf numFmtId="0" fontId="44" fillId="0" borderId="18" xfId="2" applyFont="1" applyBorder="1">
      <alignment vertical="center"/>
    </xf>
    <xf numFmtId="0" fontId="44" fillId="0" borderId="0" xfId="2" applyFont="1" applyAlignment="1">
      <alignment horizontal="right" vertical="center"/>
    </xf>
    <xf numFmtId="0" fontId="44" fillId="0" borderId="19" xfId="2" applyFont="1" applyBorder="1">
      <alignment vertical="center"/>
    </xf>
    <xf numFmtId="0" fontId="44" fillId="0" borderId="13" xfId="2" applyFont="1" applyBorder="1">
      <alignment vertical="center"/>
    </xf>
    <xf numFmtId="0" fontId="44" fillId="0" borderId="20" xfId="2" applyFont="1" applyBorder="1">
      <alignment vertical="center"/>
    </xf>
    <xf numFmtId="0" fontId="10" fillId="0" borderId="17" xfId="2" applyFont="1" applyBorder="1">
      <alignment vertical="center"/>
    </xf>
    <xf numFmtId="0" fontId="10" fillId="0" borderId="0" xfId="5" applyFont="1">
      <alignment vertical="center"/>
    </xf>
    <xf numFmtId="0" fontId="33" fillId="0" borderId="0" xfId="2" applyFont="1" applyAlignment="1">
      <alignment horizontal="right" vertical="top"/>
    </xf>
    <xf numFmtId="0" fontId="36" fillId="0" borderId="1" xfId="2" applyFont="1" applyBorder="1" applyAlignment="1">
      <alignment vertical="center"/>
    </xf>
    <xf numFmtId="0" fontId="10" fillId="0" borderId="2" xfId="0" applyFont="1" applyBorder="1" applyAlignment="1">
      <alignment horizontal="center" vertical="center"/>
    </xf>
    <xf numFmtId="0" fontId="44" fillId="0" borderId="14" xfId="2" applyFont="1" applyBorder="1" applyAlignment="1">
      <alignment vertical="center" wrapText="1"/>
    </xf>
    <xf numFmtId="0" fontId="44" fillId="0" borderId="15" xfId="2" applyFont="1" applyBorder="1" applyAlignment="1">
      <alignment vertical="center" wrapText="1"/>
    </xf>
    <xf numFmtId="0" fontId="44" fillId="0" borderId="16" xfId="2" applyFont="1" applyBorder="1" applyAlignment="1">
      <alignment vertical="center" wrapText="1"/>
    </xf>
    <xf numFmtId="43" fontId="46" fillId="2" borderId="0" xfId="1" applyFont="1" applyFill="1" applyAlignment="1">
      <alignment horizontal="center" vertical="center"/>
    </xf>
    <xf numFmtId="43" fontId="46" fillId="3" borderId="0" xfId="1" applyFont="1" applyFill="1" applyAlignment="1">
      <alignment horizontal="center" vertical="center"/>
    </xf>
    <xf numFmtId="43" fontId="46" fillId="3" borderId="0" xfId="1" applyFont="1" applyFill="1" applyAlignment="1">
      <alignment horizontal="left" vertical="center"/>
    </xf>
    <xf numFmtId="0" fontId="14" fillId="0" borderId="0" xfId="2" applyFont="1">
      <alignment vertical="center"/>
    </xf>
    <xf numFmtId="43" fontId="46" fillId="2" borderId="0" xfId="1" applyFont="1" applyFill="1" applyAlignment="1">
      <alignment horizontal="right" vertical="center"/>
    </xf>
    <xf numFmtId="43" fontId="25" fillId="0" borderId="2" xfId="1" applyFont="1" applyFill="1" applyBorder="1" applyAlignment="1">
      <alignment horizontal="center" vertical="center"/>
    </xf>
    <xf numFmtId="0" fontId="10" fillId="0" borderId="2" xfId="2" applyFont="1" applyFill="1" applyBorder="1" applyAlignment="1">
      <alignment horizontal="center" vertical="center"/>
    </xf>
    <xf numFmtId="43" fontId="10" fillId="0" borderId="2" xfId="1" applyFont="1" applyFill="1" applyBorder="1" applyAlignment="1">
      <alignment horizontal="center" vertical="center"/>
    </xf>
    <xf numFmtId="43" fontId="10" fillId="0" borderId="2" xfId="1" applyFont="1" applyFill="1" applyBorder="1" applyAlignment="1">
      <alignment horizontal="left" vertical="center"/>
    </xf>
    <xf numFmtId="0" fontId="10" fillId="0" borderId="2" xfId="2" applyFont="1" applyBorder="1" applyAlignment="1">
      <alignment horizontal="center" vertical="center"/>
    </xf>
    <xf numFmtId="0" fontId="10" fillId="0" borderId="2" xfId="5" applyFont="1" applyBorder="1" applyAlignment="1">
      <alignment horizontal="center" vertical="center"/>
    </xf>
    <xf numFmtId="0" fontId="10" fillId="0" borderId="33" xfId="2" applyFont="1" applyBorder="1" applyAlignment="1">
      <alignment horizontal="center" vertical="center"/>
    </xf>
    <xf numFmtId="0" fontId="10" fillId="0" borderId="34" xfId="2" applyFont="1" applyBorder="1" applyAlignment="1">
      <alignment horizontal="center" vertical="center"/>
    </xf>
    <xf numFmtId="0" fontId="10" fillId="0" borderId="34" xfId="0" applyFont="1" applyBorder="1" applyAlignment="1">
      <alignment horizontal="center" vertical="center"/>
    </xf>
    <xf numFmtId="0" fontId="10" fillId="0" borderId="19" xfId="2" applyFont="1" applyBorder="1">
      <alignment vertical="center"/>
    </xf>
    <xf numFmtId="0" fontId="10" fillId="0" borderId="13" xfId="2" applyFont="1" applyBorder="1">
      <alignment vertical="center"/>
    </xf>
    <xf numFmtId="0" fontId="10" fillId="0" borderId="20" xfId="2" applyFont="1" applyBorder="1">
      <alignment vertical="center"/>
    </xf>
    <xf numFmtId="43" fontId="8" fillId="2" borderId="6" xfId="1" applyFont="1" applyFill="1" applyBorder="1" applyAlignment="1">
      <alignment vertical="center" wrapText="1"/>
    </xf>
    <xf numFmtId="43" fontId="8" fillId="2" borderId="0" xfId="1" applyFont="1" applyFill="1" applyBorder="1" applyAlignment="1">
      <alignment vertical="center" wrapText="1"/>
    </xf>
    <xf numFmtId="0" fontId="41" fillId="0" borderId="0" xfId="2" applyFont="1">
      <alignment vertical="center"/>
    </xf>
    <xf numFmtId="0" fontId="47" fillId="0" borderId="0" xfId="2" applyFont="1">
      <alignment vertical="center"/>
    </xf>
    <xf numFmtId="0" fontId="41" fillId="0" borderId="0" xfId="2" applyFont="1" applyAlignment="1">
      <alignment horizontal="center" vertical="center"/>
    </xf>
    <xf numFmtId="0" fontId="47" fillId="0" borderId="0" xfId="2" applyFont="1" applyAlignment="1">
      <alignment horizontal="center" vertical="center"/>
    </xf>
    <xf numFmtId="0" fontId="48" fillId="0" borderId="0" xfId="6" applyFont="1" applyAlignment="1">
      <alignment vertical="center"/>
    </xf>
    <xf numFmtId="0" fontId="49" fillId="0" borderId="0" xfId="6" applyFont="1" applyAlignment="1">
      <alignment horizontal="right" vertical="center"/>
    </xf>
    <xf numFmtId="0" fontId="4" fillId="0" borderId="0" xfId="6" applyFont="1" applyAlignment="1">
      <alignment vertical="center"/>
    </xf>
    <xf numFmtId="1" fontId="51" fillId="0" borderId="0" xfId="6" applyNumberFormat="1" applyFont="1" applyAlignment="1">
      <alignment shrinkToFit="1"/>
    </xf>
    <xf numFmtId="0" fontId="10" fillId="0" borderId="0" xfId="6" applyFont="1" applyAlignment="1">
      <alignment horizontal="right"/>
    </xf>
    <xf numFmtId="0" fontId="10" fillId="0" borderId="0" xfId="6" applyFont="1" applyAlignment="1">
      <alignment vertical="center"/>
    </xf>
    <xf numFmtId="0" fontId="4" fillId="0" borderId="0" xfId="6" applyFont="1" applyAlignment="1">
      <alignment vertical="center" wrapText="1"/>
    </xf>
    <xf numFmtId="0" fontId="2" fillId="0" borderId="0" xfId="6" applyAlignment="1">
      <alignment vertical="center"/>
    </xf>
    <xf numFmtId="0" fontId="4" fillId="0" borderId="0" xfId="6" applyFont="1" applyAlignment="1">
      <alignment horizontal="left" vertical="center"/>
    </xf>
    <xf numFmtId="0" fontId="10" fillId="0" borderId="0" xfId="6" applyFont="1" applyAlignment="1">
      <alignment horizontal="left" vertical="center"/>
    </xf>
    <xf numFmtId="0" fontId="4" fillId="0" borderId="0" xfId="6" applyFont="1" applyAlignment="1">
      <alignment horizontal="left" vertical="center" indent="1"/>
    </xf>
    <xf numFmtId="0" fontId="10" fillId="0" borderId="0" xfId="6" applyFont="1" applyAlignment="1">
      <alignment horizontal="right" vertical="center"/>
    </xf>
    <xf numFmtId="0" fontId="10" fillId="0" borderId="2" xfId="6" applyFont="1" applyBorder="1" applyAlignment="1">
      <alignment horizontal="center" vertical="center" wrapText="1"/>
    </xf>
    <xf numFmtId="0" fontId="10" fillId="0" borderId="11" xfId="6" applyFont="1" applyBorder="1" applyAlignment="1">
      <alignment horizontal="center" vertical="center" wrapText="1"/>
    </xf>
    <xf numFmtId="176" fontId="4" fillId="0" borderId="2" xfId="6" applyNumberFormat="1" applyFont="1" applyBorder="1" applyAlignment="1">
      <alignment horizontal="center" vertical="center" wrapText="1"/>
    </xf>
    <xf numFmtId="43" fontId="4" fillId="0" borderId="11" xfId="9" applyFont="1" applyBorder="1" applyAlignment="1">
      <alignment vertical="center" wrapText="1"/>
    </xf>
    <xf numFmtId="43" fontId="4" fillId="0" borderId="2" xfId="9" applyFont="1" applyBorder="1" applyAlignment="1">
      <alignment vertical="center" wrapText="1"/>
    </xf>
    <xf numFmtId="0" fontId="4" fillId="0" borderId="2" xfId="6" applyFont="1" applyBorder="1" applyAlignment="1">
      <alignment horizontal="center" vertical="center" wrapText="1"/>
    </xf>
    <xf numFmtId="10" fontId="4" fillId="0" borderId="2" xfId="10" applyNumberFormat="1" applyFont="1" applyBorder="1" applyAlignment="1">
      <alignment horizontal="center" vertical="center" wrapText="1"/>
    </xf>
    <xf numFmtId="43" fontId="4" fillId="0" borderId="2" xfId="9" applyFont="1" applyBorder="1" applyAlignment="1">
      <alignment horizontal="center" vertical="center"/>
    </xf>
    <xf numFmtId="0" fontId="10" fillId="0" borderId="2" xfId="6" applyFont="1" applyBorder="1" applyAlignment="1">
      <alignment horizontal="left" vertical="center" wrapText="1"/>
    </xf>
    <xf numFmtId="0" fontId="4" fillId="0" borderId="0" xfId="6" applyFont="1" applyAlignment="1">
      <alignment vertical="top" wrapText="1"/>
    </xf>
    <xf numFmtId="176" fontId="4" fillId="0" borderId="0" xfId="6" applyNumberFormat="1" applyFont="1" applyAlignment="1">
      <alignment vertical="center"/>
    </xf>
    <xf numFmtId="14" fontId="4" fillId="0" borderId="0" xfId="6" applyNumberFormat="1" applyFont="1" applyAlignment="1">
      <alignment vertical="center"/>
    </xf>
    <xf numFmtId="0" fontId="44" fillId="0" borderId="0" xfId="6" applyFont="1" applyAlignment="1">
      <alignment vertical="center"/>
    </xf>
    <xf numFmtId="0" fontId="53" fillId="0" borderId="0" xfId="6" applyFont="1" applyAlignment="1">
      <alignment vertical="center"/>
    </xf>
    <xf numFmtId="0" fontId="4" fillId="0" borderId="0" xfId="6" applyFont="1" applyAlignment="1">
      <alignment horizontal="right" vertical="center"/>
    </xf>
    <xf numFmtId="0" fontId="53" fillId="0" borderId="3" xfId="6" applyFont="1" applyBorder="1" applyAlignment="1">
      <alignment vertical="center"/>
    </xf>
    <xf numFmtId="0" fontId="53" fillId="0" borderId="4" xfId="6" applyFont="1" applyBorder="1" applyAlignment="1">
      <alignment vertical="center"/>
    </xf>
    <xf numFmtId="0" fontId="53" fillId="0" borderId="5" xfId="6" applyFont="1" applyBorder="1" applyAlignment="1">
      <alignment vertical="top" wrapText="1"/>
    </xf>
    <xf numFmtId="0" fontId="53" fillId="0" borderId="6" xfId="6" applyFont="1" applyBorder="1" applyAlignment="1">
      <alignment vertical="center"/>
    </xf>
    <xf numFmtId="0" fontId="53" fillId="0" borderId="7" xfId="6" applyFont="1" applyBorder="1" applyAlignment="1">
      <alignment horizontal="left" vertical="top" wrapText="1"/>
    </xf>
    <xf numFmtId="0" fontId="53" fillId="0" borderId="0" xfId="6" applyFont="1" applyAlignment="1">
      <alignment vertical="top" wrapText="1"/>
    </xf>
    <xf numFmtId="0" fontId="53" fillId="0" borderId="7" xfId="6" applyFont="1" applyBorder="1" applyAlignment="1">
      <alignment vertical="center"/>
    </xf>
    <xf numFmtId="0" fontId="53" fillId="0" borderId="7" xfId="6" applyFont="1" applyBorder="1" applyAlignment="1">
      <alignment horizontal="left" vertical="center"/>
    </xf>
    <xf numFmtId="0" fontId="44" fillId="0" borderId="6" xfId="6" applyFont="1" applyBorder="1" applyAlignment="1">
      <alignment vertical="center"/>
    </xf>
    <xf numFmtId="0" fontId="44" fillId="0" borderId="7" xfId="6" applyFont="1" applyBorder="1" applyAlignment="1">
      <alignment vertical="center"/>
    </xf>
    <xf numFmtId="0" fontId="55" fillId="0" borderId="0" xfId="6" applyFont="1" applyAlignment="1">
      <alignment vertical="center"/>
    </xf>
    <xf numFmtId="0" fontId="44" fillId="0" borderId="8" xfId="6" applyFont="1" applyBorder="1" applyAlignment="1">
      <alignment vertical="center"/>
    </xf>
    <xf numFmtId="0" fontId="53" fillId="0" borderId="1" xfId="6" applyFont="1" applyBorder="1" applyAlignment="1">
      <alignment vertical="center"/>
    </xf>
    <xf numFmtId="0" fontId="44" fillId="0" borderId="9" xfId="6" applyFont="1" applyBorder="1" applyAlignment="1">
      <alignment vertical="center"/>
    </xf>
    <xf numFmtId="0" fontId="53" fillId="0" borderId="9" xfId="6" applyFont="1" applyBorder="1" applyAlignment="1">
      <alignment vertical="center"/>
    </xf>
    <xf numFmtId="176" fontId="4" fillId="0" borderId="0" xfId="6" applyNumberFormat="1" applyFont="1" applyAlignment="1"/>
    <xf numFmtId="0" fontId="56" fillId="0" borderId="0" xfId="6" applyFont="1" applyAlignment="1">
      <alignment vertical="center"/>
    </xf>
    <xf numFmtId="0" fontId="57" fillId="0" borderId="0" xfId="2" applyFont="1" applyAlignment="1">
      <alignment horizontal="centerContinuous" vertical="center"/>
    </xf>
    <xf numFmtId="0" fontId="58" fillId="0" borderId="0" xfId="2" applyFont="1">
      <alignment vertical="center"/>
    </xf>
    <xf numFmtId="0" fontId="60" fillId="0" borderId="0" xfId="2" applyFont="1">
      <alignment vertical="center"/>
    </xf>
    <xf numFmtId="0" fontId="60" fillId="0" borderId="1" xfId="2" applyFont="1" applyBorder="1" applyAlignment="1">
      <alignment horizontal="left" vertical="center"/>
    </xf>
    <xf numFmtId="0" fontId="60" fillId="0" borderId="1" xfId="2" applyFont="1" applyBorder="1">
      <alignment vertical="center"/>
    </xf>
    <xf numFmtId="0" fontId="9" fillId="0" borderId="1" xfId="2" applyFont="1" applyBorder="1" applyAlignment="1">
      <alignment horizontal="center" vertical="center"/>
    </xf>
    <xf numFmtId="0" fontId="60" fillId="0" borderId="0" xfId="2" applyFont="1" applyAlignment="1">
      <alignment horizontal="left" vertical="center"/>
    </xf>
    <xf numFmtId="0" fontId="61" fillId="0" borderId="0" xfId="2" applyFont="1" applyAlignment="1">
      <alignment horizontal="left" vertical="center"/>
    </xf>
    <xf numFmtId="0" fontId="17" fillId="0" borderId="0" xfId="2" applyFont="1" applyAlignment="1">
      <alignment horizontal="center" vertical="center"/>
    </xf>
    <xf numFmtId="0" fontId="62" fillId="0" borderId="0" xfId="11" applyFont="1">
      <alignment vertical="center"/>
    </xf>
    <xf numFmtId="0" fontId="63" fillId="0" borderId="0" xfId="11" applyFont="1">
      <alignment vertical="center"/>
    </xf>
    <xf numFmtId="0" fontId="60" fillId="0" borderId="0" xfId="2" applyFont="1" applyAlignment="1">
      <alignment horizontal="centerContinuous" vertical="center"/>
    </xf>
    <xf numFmtId="0" fontId="60" fillId="0" borderId="0" xfId="2" applyFont="1" applyAlignment="1">
      <alignment horizontal="center" vertical="center"/>
    </xf>
    <xf numFmtId="0" fontId="60" fillId="0" borderId="36" xfId="2" applyFont="1" applyBorder="1" applyAlignment="1">
      <alignment horizontal="centerContinuous" vertical="center" wrapText="1"/>
    </xf>
    <xf numFmtId="0" fontId="60" fillId="0" borderId="46" xfId="2" applyFont="1" applyBorder="1" applyAlignment="1">
      <alignment horizontal="centerContinuous" vertical="center" wrapText="1"/>
    </xf>
    <xf numFmtId="0" fontId="60" fillId="0" borderId="23" xfId="2" applyFont="1" applyBorder="1" applyAlignment="1">
      <alignment horizontal="centerContinuous" vertical="center" wrapText="1"/>
    </xf>
    <xf numFmtId="0" fontId="60" fillId="0" borderId="24" xfId="2" applyFont="1" applyBorder="1" applyAlignment="1">
      <alignment horizontal="center" vertical="center" wrapText="1"/>
    </xf>
    <xf numFmtId="0" fontId="60" fillId="0" borderId="32" xfId="2" applyFont="1" applyBorder="1" applyAlignment="1">
      <alignment horizontal="center" vertical="center" wrapText="1"/>
    </xf>
    <xf numFmtId="43" fontId="60" fillId="0" borderId="2" xfId="1" applyFont="1" applyBorder="1">
      <alignment vertical="center"/>
    </xf>
    <xf numFmtId="0" fontId="60" fillId="0" borderId="34" xfId="2" applyFont="1" applyBorder="1" applyAlignment="1">
      <alignment horizontal="center" vertical="center"/>
    </xf>
    <xf numFmtId="0" fontId="60" fillId="0" borderId="27" xfId="2" applyFont="1" applyBorder="1" applyAlignment="1">
      <alignment horizontal="centerContinuous" vertical="center" wrapText="1"/>
    </xf>
    <xf numFmtId="0" fontId="60" fillId="0" borderId="29" xfId="2" applyFont="1" applyBorder="1" applyAlignment="1">
      <alignment horizontal="centerContinuous" vertical="center" wrapText="1"/>
    </xf>
    <xf numFmtId="0" fontId="60" fillId="0" borderId="38" xfId="2" applyFont="1" applyBorder="1" applyAlignment="1">
      <alignment horizontal="centerContinuous" vertical="center" wrapText="1"/>
    </xf>
    <xf numFmtId="43" fontId="29" fillId="0" borderId="30" xfId="1" applyFont="1" applyBorder="1">
      <alignment vertical="center"/>
    </xf>
    <xf numFmtId="43" fontId="29" fillId="0" borderId="31" xfId="1" applyFont="1" applyBorder="1" applyAlignment="1">
      <alignment horizontal="center" vertical="center"/>
    </xf>
    <xf numFmtId="176" fontId="60" fillId="0" borderId="0" xfId="2" applyNumberFormat="1" applyFont="1" applyAlignment="1">
      <alignment horizontal="center" vertical="center"/>
    </xf>
    <xf numFmtId="43" fontId="60" fillId="0" borderId="0" xfId="1" applyFont="1" applyAlignment="1">
      <alignment horizontal="right" vertical="center"/>
    </xf>
    <xf numFmtId="14" fontId="60" fillId="0" borderId="0" xfId="2" applyNumberFormat="1" applyFont="1" applyAlignment="1">
      <alignment horizontal="center" vertical="center"/>
    </xf>
    <xf numFmtId="43" fontId="60" fillId="0" borderId="0" xfId="1" applyFont="1" applyAlignment="1">
      <alignment horizontal="center" vertical="center"/>
    </xf>
    <xf numFmtId="43" fontId="60" fillId="0" borderId="0" xfId="1" applyFont="1" applyAlignment="1">
      <alignment horizontal="centerContinuous" vertical="center"/>
    </xf>
    <xf numFmtId="0" fontId="60" fillId="0" borderId="47" xfId="2" applyFont="1" applyBorder="1" applyAlignment="1">
      <alignment horizontal="centerContinuous" vertical="center" wrapText="1"/>
    </xf>
    <xf numFmtId="0" fontId="60" fillId="0" borderId="48" xfId="2" applyFont="1" applyBorder="1" applyAlignment="1">
      <alignment horizontal="centerContinuous" vertical="center" wrapText="1"/>
    </xf>
    <xf numFmtId="0" fontId="60" fillId="0" borderId="49" xfId="2" applyFont="1" applyBorder="1" applyAlignment="1">
      <alignment horizontal="centerContinuous" vertical="center" wrapText="1"/>
    </xf>
    <xf numFmtId="0" fontId="60" fillId="0" borderId="0" xfId="2" applyFont="1" applyAlignment="1">
      <alignment horizontal="right" vertical="center"/>
    </xf>
    <xf numFmtId="31" fontId="60" fillId="0" borderId="0" xfId="2" applyNumberFormat="1" applyFont="1" applyAlignment="1">
      <alignment horizontal="center" vertical="center"/>
    </xf>
    <xf numFmtId="0" fontId="60" fillId="0" borderId="3" xfId="2" applyFont="1" applyBorder="1">
      <alignment vertical="center"/>
    </xf>
    <xf numFmtId="0" fontId="60" fillId="0" borderId="4" xfId="2" applyFont="1" applyBorder="1">
      <alignment vertical="center"/>
    </xf>
    <xf numFmtId="0" fontId="60" fillId="0" borderId="5" xfId="2" applyFont="1" applyBorder="1">
      <alignment vertical="center"/>
    </xf>
    <xf numFmtId="0" fontId="60" fillId="0" borderId="4" xfId="2" quotePrefix="1" applyFont="1" applyBorder="1" applyAlignment="1">
      <alignment horizontal="left" vertical="center"/>
    </xf>
    <xf numFmtId="0" fontId="60" fillId="0" borderId="6" xfId="2" applyFont="1" applyBorder="1">
      <alignment vertical="center"/>
    </xf>
    <xf numFmtId="0" fontId="60" fillId="0" borderId="7" xfId="2" applyFont="1" applyBorder="1">
      <alignment vertical="center"/>
    </xf>
    <xf numFmtId="0" fontId="60" fillId="0" borderId="0" xfId="2" quotePrefix="1" applyFont="1" applyAlignment="1">
      <alignment horizontal="left" vertical="center"/>
    </xf>
    <xf numFmtId="0" fontId="60" fillId="0" borderId="0" xfId="3" applyFont="1" applyAlignment="1">
      <alignment vertical="center"/>
    </xf>
    <xf numFmtId="0" fontId="60" fillId="0" borderId="8" xfId="2" applyFont="1" applyBorder="1">
      <alignment vertical="center"/>
    </xf>
    <xf numFmtId="0" fontId="60" fillId="0" borderId="9" xfId="2" applyFont="1" applyBorder="1">
      <alignment vertical="center"/>
    </xf>
    <xf numFmtId="0" fontId="60" fillId="0" borderId="0" xfId="2" applyFont="1" applyAlignment="1">
      <alignment vertical="center"/>
    </xf>
    <xf numFmtId="0" fontId="60" fillId="0" borderId="2" xfId="2" applyFont="1" applyBorder="1" applyAlignment="1">
      <alignment horizontal="centerContinuous" vertical="center" wrapText="1"/>
    </xf>
    <xf numFmtId="0" fontId="60" fillId="0" borderId="2" xfId="2" applyFont="1" applyBorder="1" applyAlignment="1">
      <alignment horizontal="center" vertical="center" wrapText="1"/>
    </xf>
    <xf numFmtId="0" fontId="60" fillId="0" borderId="33" xfId="2" applyFont="1" applyBorder="1" applyAlignment="1">
      <alignment horizontal="centerContinuous" vertical="center" wrapText="1"/>
    </xf>
    <xf numFmtId="0" fontId="60" fillId="0" borderId="34" xfId="2" applyFont="1" applyBorder="1" applyAlignment="1">
      <alignment horizontal="center" vertical="center" wrapText="1"/>
    </xf>
    <xf numFmtId="0" fontId="60" fillId="0" borderId="19" xfId="2" applyFont="1" applyBorder="1">
      <alignment vertical="center"/>
    </xf>
    <xf numFmtId="0" fontId="60" fillId="0" borderId="13" xfId="2" applyFont="1" applyBorder="1">
      <alignment vertical="center"/>
    </xf>
    <xf numFmtId="0" fontId="60" fillId="0" borderId="20" xfId="2" applyFont="1" applyBorder="1">
      <alignment vertical="center"/>
    </xf>
    <xf numFmtId="0" fontId="65" fillId="0" borderId="0" xfId="2" applyFont="1">
      <alignment vertical="center"/>
    </xf>
    <xf numFmtId="0" fontId="10" fillId="0" borderId="2" xfId="6" applyFont="1" applyBorder="1" applyAlignment="1">
      <alignment horizontal="center" vertical="center"/>
    </xf>
    <xf numFmtId="0" fontId="22" fillId="4" borderId="0" xfId="4" applyFill="1" applyBorder="1"/>
    <xf numFmtId="0" fontId="26" fillId="4" borderId="0" xfId="0" applyFont="1" applyFill="1" applyBorder="1" applyAlignment="1">
      <alignment horizontal="center" wrapText="1"/>
    </xf>
    <xf numFmtId="0" fontId="27" fillId="4" borderId="0" xfId="0" applyFont="1" applyFill="1" applyAlignment="1"/>
    <xf numFmtId="0" fontId="22" fillId="4" borderId="0" xfId="4" applyFill="1" applyAlignment="1">
      <alignment vertical="center"/>
    </xf>
    <xf numFmtId="0" fontId="12" fillId="4" borderId="0" xfId="2" applyFont="1" applyFill="1">
      <alignment vertical="center"/>
    </xf>
    <xf numFmtId="0" fontId="9" fillId="4" borderId="0" xfId="2" applyFont="1" applyFill="1">
      <alignment vertical="center"/>
    </xf>
    <xf numFmtId="0" fontId="26" fillId="4" borderId="7" xfId="0" applyFont="1" applyFill="1" applyBorder="1" applyAlignment="1">
      <alignment horizontal="center" vertical="center"/>
    </xf>
    <xf numFmtId="0" fontId="10" fillId="0" borderId="2" xfId="0" applyFont="1" applyBorder="1" applyAlignment="1">
      <alignment horizontal="center" vertical="center" wrapText="1"/>
    </xf>
    <xf numFmtId="0" fontId="10" fillId="0" borderId="2" xfId="2" applyFont="1" applyBorder="1" applyAlignment="1">
      <alignment horizontal="center" vertical="center" wrapText="1"/>
    </xf>
    <xf numFmtId="0" fontId="10" fillId="0" borderId="34" xfId="2" applyFont="1" applyBorder="1" applyAlignment="1">
      <alignment horizontal="center" vertical="center" wrapText="1"/>
    </xf>
    <xf numFmtId="0" fontId="10" fillId="0" borderId="33" xfId="2" applyFont="1" applyBorder="1" applyAlignment="1">
      <alignment horizontal="center" vertical="center" wrapText="1"/>
    </xf>
    <xf numFmtId="49" fontId="10" fillId="0" borderId="2" xfId="2" applyNumberFormat="1" applyFont="1" applyBorder="1" applyAlignment="1">
      <alignment horizontal="center" vertical="center" wrapText="1"/>
    </xf>
    <xf numFmtId="0" fontId="10" fillId="0" borderId="30" xfId="2" applyFont="1" applyBorder="1" applyAlignment="1">
      <alignment horizontal="center" vertical="center" wrapText="1"/>
    </xf>
    <xf numFmtId="0" fontId="10" fillId="0" borderId="31" xfId="2" applyFont="1" applyBorder="1" applyAlignment="1">
      <alignment horizontal="center" vertical="center" wrapText="1"/>
    </xf>
    <xf numFmtId="177" fontId="10" fillId="0" borderId="2" xfId="2" applyNumberFormat="1" applyFont="1" applyBorder="1" applyAlignment="1">
      <alignment horizontal="right" vertical="center" wrapText="1"/>
    </xf>
    <xf numFmtId="0" fontId="10" fillId="0" borderId="11" xfId="2" applyFont="1" applyBorder="1" applyAlignment="1">
      <alignment horizontal="center" vertical="center" wrapText="1"/>
    </xf>
    <xf numFmtId="0" fontId="0" fillId="4" borderId="0" xfId="0" applyFill="1" applyAlignment="1">
      <alignment horizontal="left" wrapText="1"/>
    </xf>
    <xf numFmtId="0" fontId="0" fillId="4" borderId="6" xfId="0" applyFill="1" applyBorder="1" applyAlignment="1">
      <alignment horizontal="left" vertical="top" wrapText="1"/>
    </xf>
    <xf numFmtId="0" fontId="0" fillId="4" borderId="0" xfId="0" applyFill="1" applyAlignment="1">
      <alignment horizontal="left" vertical="top" wrapText="1"/>
    </xf>
    <xf numFmtId="0" fontId="0" fillId="4" borderId="6" xfId="0" applyFill="1" applyBorder="1" applyAlignment="1">
      <alignment horizontal="left" wrapText="1"/>
    </xf>
    <xf numFmtId="0" fontId="44" fillId="0" borderId="33" xfId="2" applyFont="1" applyBorder="1" applyAlignment="1">
      <alignment horizontal="center" vertical="center"/>
    </xf>
    <xf numFmtId="0" fontId="44" fillId="0" borderId="2" xfId="2" applyFont="1" applyBorder="1" applyAlignment="1">
      <alignment horizontal="center" vertical="center"/>
    </xf>
    <xf numFmtId="0" fontId="44" fillId="0" borderId="34" xfId="2" applyFont="1" applyBorder="1" applyAlignment="1">
      <alignment horizontal="center" vertical="center"/>
    </xf>
    <xf numFmtId="43" fontId="8" fillId="2" borderId="1" xfId="1" applyFont="1" applyFill="1" applyBorder="1" applyAlignment="1">
      <alignment horizontal="center" vertical="center" wrapText="1"/>
    </xf>
    <xf numFmtId="0" fontId="10" fillId="0" borderId="33" xfId="2" applyFont="1" applyBorder="1" applyAlignment="1">
      <alignment horizontal="center" vertical="center" wrapText="1"/>
    </xf>
    <xf numFmtId="0" fontId="10" fillId="0" borderId="2" xfId="2" applyFont="1" applyBorder="1" applyAlignment="1">
      <alignment horizontal="center" vertical="center" wrapText="1"/>
    </xf>
    <xf numFmtId="0" fontId="10" fillId="0" borderId="34" xfId="2" applyFont="1" applyBorder="1" applyAlignment="1">
      <alignment horizontal="center" vertical="center" wrapText="1"/>
    </xf>
    <xf numFmtId="0" fontId="10" fillId="0" borderId="2" xfId="2" applyFont="1" applyBorder="1" applyAlignment="1">
      <alignment horizontal="center" vertical="center"/>
    </xf>
    <xf numFmtId="0" fontId="10" fillId="0" borderId="34" xfId="2" applyFont="1" applyBorder="1" applyAlignment="1">
      <alignment horizontal="center" vertical="center"/>
    </xf>
    <xf numFmtId="0" fontId="10" fillId="0" borderId="2"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3" xfId="0" applyFont="1" applyBorder="1" applyAlignment="1">
      <alignment horizontal="center" vertical="center"/>
    </xf>
    <xf numFmtId="0" fontId="10" fillId="0" borderId="2" xfId="0" applyFont="1" applyBorder="1" applyAlignment="1">
      <alignment horizontal="center" vertical="center"/>
    </xf>
    <xf numFmtId="0" fontId="10" fillId="0" borderId="33" xfId="2" applyFont="1" applyBorder="1" applyAlignment="1">
      <alignment horizontal="center" vertical="center"/>
    </xf>
    <xf numFmtId="0" fontId="23" fillId="2" borderId="0" xfId="0" applyFont="1" applyFill="1" applyAlignment="1">
      <alignment horizontal="center" vertical="center"/>
    </xf>
    <xf numFmtId="43" fontId="8" fillId="2" borderId="0" xfId="1" applyFont="1" applyFill="1" applyAlignment="1">
      <alignment horizontal="center" vertical="center" wrapText="1"/>
    </xf>
    <xf numFmtId="43" fontId="46" fillId="2" borderId="1" xfId="1" applyFont="1" applyFill="1" applyBorder="1" applyAlignment="1">
      <alignment horizontal="center" vertical="center"/>
    </xf>
    <xf numFmtId="0" fontId="10" fillId="0" borderId="2" xfId="2" applyFont="1" applyFill="1" applyBorder="1" applyAlignment="1">
      <alignment horizontal="center" vertical="center"/>
    </xf>
    <xf numFmtId="176" fontId="9" fillId="0" borderId="2" xfId="2" applyNumberFormat="1" applyFont="1" applyFill="1" applyBorder="1" applyAlignment="1">
      <alignment horizontal="center" vertical="center"/>
    </xf>
    <xf numFmtId="0" fontId="9" fillId="0" borderId="2" xfId="2" applyFont="1" applyBorder="1" applyAlignment="1">
      <alignment horizontal="center" vertical="center" wrapText="1"/>
    </xf>
    <xf numFmtId="176" fontId="9" fillId="0" borderId="2" xfId="2" applyNumberFormat="1" applyFont="1" applyBorder="1" applyAlignment="1">
      <alignment horizontal="center" vertical="center" wrapText="1"/>
    </xf>
    <xf numFmtId="0" fontId="9" fillId="0" borderId="0" xfId="2" applyFont="1" applyAlignment="1">
      <alignment horizontal="center" vertical="center"/>
    </xf>
    <xf numFmtId="0" fontId="10" fillId="0" borderId="0" xfId="2" applyFont="1" applyAlignment="1">
      <alignment horizontal="center" vertical="center"/>
    </xf>
    <xf numFmtId="14" fontId="10" fillId="0" borderId="11" xfId="2" applyNumberFormat="1" applyFont="1" applyFill="1" applyBorder="1" applyAlignment="1" applyProtection="1">
      <alignment horizontal="center" vertical="center"/>
      <protection locked="0"/>
    </xf>
    <xf numFmtId="14" fontId="10" fillId="0" borderId="12" xfId="2" applyNumberFormat="1" applyFont="1" applyFill="1" applyBorder="1" applyAlignment="1" applyProtection="1">
      <alignment horizontal="center" vertical="center"/>
      <protection locked="0"/>
    </xf>
    <xf numFmtId="14" fontId="10" fillId="0" borderId="10" xfId="2" applyNumberFormat="1" applyFont="1" applyFill="1" applyBorder="1" applyAlignment="1" applyProtection="1">
      <alignment horizontal="center" vertical="center"/>
      <protection locked="0"/>
    </xf>
    <xf numFmtId="0" fontId="28" fillId="0" borderId="0" xfId="2" applyFont="1" applyAlignment="1">
      <alignment horizontal="center" vertical="center"/>
    </xf>
    <xf numFmtId="0" fontId="29" fillId="0" borderId="0" xfId="2" applyFont="1" applyAlignment="1">
      <alignment horizontal="center" vertical="center"/>
    </xf>
    <xf numFmtId="0" fontId="10" fillId="0" borderId="0" xfId="2" applyFont="1" applyAlignment="1">
      <alignment horizontal="left" vertical="distributed"/>
    </xf>
    <xf numFmtId="0" fontId="9" fillId="0" borderId="0" xfId="2" applyFont="1" applyAlignment="1">
      <alignment horizontal="left" vertical="distributed"/>
    </xf>
    <xf numFmtId="0" fontId="9" fillId="0" borderId="0" xfId="2" applyFont="1" applyAlignment="1">
      <alignment horizontal="left" vertical="center" wrapText="1"/>
    </xf>
    <xf numFmtId="0" fontId="36" fillId="0" borderId="0" xfId="2" applyFont="1" applyAlignment="1">
      <alignment horizontal="left" vertical="center" wrapText="1"/>
    </xf>
    <xf numFmtId="0" fontId="47" fillId="0" borderId="14" xfId="2" applyFont="1" applyBorder="1" applyAlignment="1">
      <alignment horizontal="center" vertical="center"/>
    </xf>
    <xf numFmtId="0" fontId="41" fillId="0" borderId="15" xfId="2" applyFont="1" applyBorder="1" applyAlignment="1">
      <alignment horizontal="center" vertical="center"/>
    </xf>
    <xf numFmtId="0" fontId="41" fillId="0" borderId="16" xfId="2" applyFont="1" applyBorder="1" applyAlignment="1">
      <alignment horizontal="center" vertical="center"/>
    </xf>
    <xf numFmtId="0" fontId="36" fillId="0" borderId="0" xfId="2" applyFont="1" applyAlignment="1">
      <alignment horizontal="center" vertical="center"/>
    </xf>
    <xf numFmtId="0" fontId="36" fillId="0" borderId="0" xfId="2" applyFont="1" applyAlignment="1">
      <alignment horizontal="left" vertical="top" wrapText="1"/>
    </xf>
    <xf numFmtId="0" fontId="10" fillId="0" borderId="15" xfId="2" applyFont="1" applyBorder="1" applyAlignment="1">
      <alignment horizontal="left" vertical="center" wrapText="1"/>
    </xf>
    <xf numFmtId="179" fontId="10" fillId="0" borderId="0" xfId="2" applyNumberFormat="1" applyFont="1" applyAlignment="1">
      <alignment horizontal="left" vertical="center"/>
    </xf>
    <xf numFmtId="0" fontId="45" fillId="0" borderId="13" xfId="2" applyFont="1" applyBorder="1" applyAlignment="1">
      <alignment horizontal="center" vertical="center"/>
    </xf>
    <xf numFmtId="0" fontId="44" fillId="0" borderId="13" xfId="2" applyFont="1" applyBorder="1" applyAlignment="1">
      <alignment horizontal="center" vertical="center"/>
    </xf>
    <xf numFmtId="0" fontId="10" fillId="0" borderId="0" xfId="2" applyFont="1" applyAlignment="1">
      <alignment horizontal="left" vertical="center" wrapText="1"/>
    </xf>
    <xf numFmtId="49" fontId="10" fillId="0" borderId="2" xfId="2" applyNumberFormat="1" applyFont="1" applyBorder="1" applyAlignment="1">
      <alignment horizontal="center" vertical="center" wrapText="1"/>
    </xf>
    <xf numFmtId="177" fontId="10" fillId="0" borderId="2" xfId="2" applyNumberFormat="1" applyFont="1" applyBorder="1" applyAlignment="1">
      <alignment horizontal="right" vertical="center" wrapText="1"/>
    </xf>
    <xf numFmtId="0" fontId="10" fillId="0" borderId="35" xfId="2" applyFont="1" applyBorder="1" applyAlignment="1">
      <alignment horizontal="center" vertical="center" wrapText="1"/>
    </xf>
    <xf numFmtId="0" fontId="10" fillId="0" borderId="30" xfId="2" applyFont="1" applyBorder="1" applyAlignment="1">
      <alignment horizontal="center" vertical="center" wrapText="1"/>
    </xf>
    <xf numFmtId="49" fontId="10" fillId="0" borderId="30" xfId="2" applyNumberFormat="1" applyFont="1" applyBorder="1" applyAlignment="1">
      <alignment horizontal="center" vertical="center" wrapText="1"/>
    </xf>
    <xf numFmtId="177" fontId="10" fillId="0" borderId="30" xfId="2" applyNumberFormat="1" applyFont="1" applyBorder="1" applyAlignment="1">
      <alignment horizontal="right" vertical="center" wrapText="1"/>
    </xf>
    <xf numFmtId="177" fontId="10" fillId="0" borderId="11" xfId="2" applyNumberFormat="1" applyFont="1" applyBorder="1" applyAlignment="1">
      <alignment horizontal="right" vertical="center" wrapText="1"/>
    </xf>
    <xf numFmtId="177" fontId="10" fillId="0" borderId="42" xfId="2" applyNumberFormat="1" applyFont="1" applyBorder="1" applyAlignment="1">
      <alignment horizontal="right" vertical="center" wrapText="1"/>
    </xf>
    <xf numFmtId="177" fontId="10" fillId="0" borderId="28" xfId="2" applyNumberFormat="1" applyFont="1" applyBorder="1" applyAlignment="1">
      <alignment horizontal="right" vertical="center" wrapText="1"/>
    </xf>
    <xf numFmtId="177" fontId="10" fillId="0" borderId="45" xfId="2" applyNumberFormat="1" applyFont="1" applyBorder="1" applyAlignment="1">
      <alignment horizontal="right" vertical="center" wrapText="1"/>
    </xf>
    <xf numFmtId="0" fontId="10" fillId="0" borderId="27" xfId="2" applyFont="1" applyBorder="1" applyAlignment="1">
      <alignment horizontal="center" vertical="center" wrapText="1"/>
    </xf>
    <xf numFmtId="0" fontId="10" fillId="0" borderId="38" xfId="2" applyFont="1" applyBorder="1" applyAlignment="1">
      <alignment horizontal="center" vertical="center" wrapText="1"/>
    </xf>
    <xf numFmtId="177" fontId="10" fillId="0" borderId="38" xfId="2" applyNumberFormat="1" applyFont="1" applyBorder="1" applyAlignment="1">
      <alignment horizontal="right" vertical="center" wrapText="1"/>
    </xf>
    <xf numFmtId="49" fontId="10" fillId="0" borderId="28" xfId="2" applyNumberFormat="1" applyFont="1" applyBorder="1" applyAlignment="1">
      <alignment horizontal="center" vertical="center" wrapText="1"/>
    </xf>
    <xf numFmtId="49" fontId="10" fillId="0" borderId="45" xfId="2" applyNumberFormat="1" applyFont="1" applyBorder="1" applyAlignment="1">
      <alignment horizontal="center" vertical="center" wrapText="1"/>
    </xf>
    <xf numFmtId="0" fontId="10" fillId="0" borderId="21" xfId="2" applyFont="1" applyBorder="1" applyAlignment="1">
      <alignment horizontal="center" vertical="center" wrapText="1"/>
    </xf>
    <xf numFmtId="0" fontId="10" fillId="0" borderId="24" xfId="2" applyFont="1" applyBorder="1" applyAlignment="1">
      <alignment horizontal="center" vertical="center" wrapText="1"/>
    </xf>
    <xf numFmtId="0" fontId="10" fillId="0" borderId="32" xfId="2" applyFont="1" applyBorder="1" applyAlignment="1">
      <alignment horizontal="center" vertical="center" wrapText="1"/>
    </xf>
    <xf numFmtId="0" fontId="10" fillId="0" borderId="30" xfId="2" applyFont="1" applyBorder="1" applyAlignment="1">
      <alignment horizontal="center" vertical="center"/>
    </xf>
    <xf numFmtId="177" fontId="10" fillId="0" borderId="31" xfId="2" applyNumberFormat="1" applyFont="1" applyBorder="1" applyAlignment="1">
      <alignment horizontal="right" vertical="center" wrapText="1"/>
    </xf>
    <xf numFmtId="0" fontId="10" fillId="0" borderId="36" xfId="2" applyFont="1" applyBorder="1" applyAlignment="1">
      <alignment horizontal="center" vertical="center" wrapText="1"/>
    </xf>
    <xf numFmtId="0" fontId="10" fillId="0" borderId="23" xfId="2" applyFont="1" applyBorder="1" applyAlignment="1">
      <alignment horizontal="center" vertical="center" wrapText="1"/>
    </xf>
    <xf numFmtId="0" fontId="10" fillId="0" borderId="22" xfId="2" applyFont="1" applyBorder="1" applyAlignment="1">
      <alignment horizontal="center" vertical="center" wrapText="1"/>
    </xf>
    <xf numFmtId="0" fontId="10" fillId="0" borderId="41" xfId="2" applyFont="1" applyBorder="1" applyAlignment="1">
      <alignment horizontal="center" vertical="center" wrapText="1"/>
    </xf>
    <xf numFmtId="0" fontId="10" fillId="0" borderId="37" xfId="2" applyFont="1" applyBorder="1" applyAlignment="1">
      <alignment horizontal="center" vertical="center" wrapText="1"/>
    </xf>
    <xf numFmtId="0" fontId="10" fillId="0" borderId="10" xfId="2" applyFont="1" applyBorder="1" applyAlignment="1">
      <alignment horizontal="center" vertical="center" wrapText="1"/>
    </xf>
    <xf numFmtId="177" fontId="10" fillId="0" borderId="10" xfId="2" applyNumberFormat="1" applyFont="1" applyBorder="1" applyAlignment="1">
      <alignment horizontal="right" vertical="center" wrapText="1"/>
    </xf>
    <xf numFmtId="49" fontId="10" fillId="0" borderId="11" xfId="2" applyNumberFormat="1" applyFont="1" applyBorder="1" applyAlignment="1">
      <alignment horizontal="center" vertical="center" wrapText="1"/>
    </xf>
    <xf numFmtId="49" fontId="10" fillId="0" borderId="42" xfId="2" applyNumberFormat="1" applyFont="1" applyBorder="1" applyAlignment="1">
      <alignment horizontal="center" vertical="center" wrapText="1"/>
    </xf>
    <xf numFmtId="177" fontId="10" fillId="0" borderId="2" xfId="2" applyNumberFormat="1" applyFont="1" applyBorder="1" applyAlignment="1">
      <alignment horizontal="center" vertical="center" wrapText="1"/>
    </xf>
    <xf numFmtId="177" fontId="10" fillId="0" borderId="34" xfId="2" applyNumberFormat="1" applyFont="1" applyBorder="1" applyAlignment="1">
      <alignment horizontal="right" vertical="center" wrapText="1"/>
    </xf>
    <xf numFmtId="0" fontId="10" fillId="0" borderId="11" xfId="2" applyFont="1" applyBorder="1" applyAlignment="1">
      <alignment horizontal="center" vertical="center" wrapText="1"/>
    </xf>
    <xf numFmtId="10" fontId="10" fillId="0" borderId="11" xfId="2" applyNumberFormat="1" applyFont="1" applyBorder="1" applyAlignment="1">
      <alignment horizontal="center" vertical="center" wrapText="1"/>
    </xf>
    <xf numFmtId="10" fontId="10" fillId="0" borderId="10" xfId="2" applyNumberFormat="1" applyFont="1" applyBorder="1" applyAlignment="1">
      <alignment horizontal="center" vertical="center" wrapText="1"/>
    </xf>
    <xf numFmtId="0" fontId="10" fillId="0" borderId="43" xfId="2" applyFont="1" applyBorder="1" applyAlignment="1">
      <alignment horizontal="center" vertical="center" wrapText="1"/>
    </xf>
    <xf numFmtId="0" fontId="10" fillId="0" borderId="44" xfId="2" applyFont="1" applyBorder="1" applyAlignment="1">
      <alignment horizontal="center" vertical="center" wrapText="1"/>
    </xf>
    <xf numFmtId="0" fontId="10" fillId="0" borderId="28" xfId="2" applyFont="1" applyBorder="1" applyAlignment="1">
      <alignment horizontal="center" vertical="center" wrapText="1"/>
    </xf>
    <xf numFmtId="10" fontId="10" fillId="0" borderId="28" xfId="2" applyNumberFormat="1" applyFont="1" applyBorder="1" applyAlignment="1">
      <alignment horizontal="center" vertical="center" wrapText="1"/>
    </xf>
    <xf numFmtId="10" fontId="10" fillId="0" borderId="38" xfId="2" applyNumberFormat="1" applyFont="1" applyBorder="1" applyAlignment="1">
      <alignment horizontal="center" vertical="center" wrapText="1"/>
    </xf>
    <xf numFmtId="0" fontId="10" fillId="0" borderId="31" xfId="2" applyFont="1" applyBorder="1" applyAlignment="1">
      <alignment horizontal="center" vertical="center" wrapText="1"/>
    </xf>
    <xf numFmtId="0" fontId="10" fillId="0" borderId="39" xfId="2" applyFont="1" applyBorder="1" applyAlignment="1">
      <alignment horizontal="center" vertical="center" wrapText="1"/>
    </xf>
    <xf numFmtId="0" fontId="10" fillId="0" borderId="40" xfId="2" applyFont="1" applyBorder="1" applyAlignment="1">
      <alignment horizontal="center" vertical="center" wrapText="1"/>
    </xf>
    <xf numFmtId="0" fontId="10" fillId="0" borderId="37" xfId="2" applyFont="1" applyBorder="1" applyAlignment="1">
      <alignment horizontal="left" vertical="center" wrapText="1"/>
    </xf>
    <xf numFmtId="0" fontId="10" fillId="0" borderId="10" xfId="2" applyFont="1" applyBorder="1" applyAlignment="1">
      <alignment horizontal="left" vertical="center" wrapText="1"/>
    </xf>
    <xf numFmtId="0" fontId="10" fillId="0" borderId="27" xfId="2" applyFont="1" applyBorder="1" applyAlignment="1">
      <alignment horizontal="left" vertical="center" wrapText="1"/>
    </xf>
    <xf numFmtId="0" fontId="10" fillId="0" borderId="38" xfId="2" applyFont="1" applyBorder="1" applyAlignment="1">
      <alignment horizontal="left" vertical="center" wrapText="1"/>
    </xf>
    <xf numFmtId="177" fontId="10" fillId="0" borderId="30" xfId="2" applyNumberFormat="1" applyFont="1" applyBorder="1" applyAlignment="1">
      <alignment horizontal="center" vertical="center" wrapText="1"/>
    </xf>
    <xf numFmtId="0" fontId="10" fillId="0" borderId="21"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applyAlignment="1">
      <alignment horizontal="center" vertical="center" wrapText="1"/>
    </xf>
    <xf numFmtId="0" fontId="10" fillId="0" borderId="32" xfId="0" applyFont="1" applyBorder="1" applyAlignment="1">
      <alignment horizontal="center" vertical="center" wrapText="1"/>
    </xf>
    <xf numFmtId="0" fontId="10" fillId="0" borderId="37" xfId="0" applyFont="1" applyBorder="1" applyAlignment="1">
      <alignment horizontal="center" vertical="center"/>
    </xf>
    <xf numFmtId="0" fontId="10" fillId="0" borderId="12"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42" xfId="0" applyFont="1" applyBorder="1" applyAlignment="1">
      <alignment horizontal="center" vertical="center" wrapText="1"/>
    </xf>
    <xf numFmtId="0" fontId="10" fillId="0" borderId="35" xfId="0" applyFont="1" applyBorder="1" applyAlignment="1">
      <alignment horizontal="center" vertical="center"/>
    </xf>
    <xf numFmtId="0" fontId="10" fillId="0" borderId="30" xfId="0" applyFont="1" applyBorder="1" applyAlignment="1">
      <alignment horizontal="center" vertical="center"/>
    </xf>
    <xf numFmtId="49" fontId="10" fillId="0" borderId="28" xfId="2" applyNumberFormat="1" applyFont="1" applyBorder="1" applyAlignment="1">
      <alignment horizontal="left" vertical="center" wrapText="1"/>
    </xf>
    <xf numFmtId="49" fontId="10" fillId="0" borderId="38" xfId="2" applyNumberFormat="1" applyFont="1" applyBorder="1" applyAlignment="1">
      <alignment horizontal="left" vertical="center" wrapText="1"/>
    </xf>
    <xf numFmtId="0" fontId="10" fillId="0" borderId="28" xfId="0" applyFont="1" applyBorder="1" applyAlignment="1">
      <alignment horizontal="center" vertical="center" wrapText="1"/>
    </xf>
    <xf numFmtId="0" fontId="10" fillId="0" borderId="38" xfId="0" applyFont="1" applyBorder="1" applyAlignment="1">
      <alignment horizontal="center" vertical="center" wrapText="1"/>
    </xf>
    <xf numFmtId="49" fontId="10" fillId="0" borderId="11" xfId="2" applyNumberFormat="1" applyFont="1" applyBorder="1" applyAlignment="1">
      <alignment horizontal="left" vertical="center" wrapText="1"/>
    </xf>
    <xf numFmtId="49" fontId="10" fillId="0" borderId="10" xfId="2" applyNumberFormat="1" applyFont="1" applyBorder="1" applyAlignment="1">
      <alignment horizontal="left" vertical="center" wrapText="1"/>
    </xf>
    <xf numFmtId="0" fontId="10" fillId="0" borderId="30" xfId="0" applyFont="1" applyBorder="1" applyAlignment="1">
      <alignment horizontal="center" vertical="center" wrapText="1"/>
    </xf>
    <xf numFmtId="0" fontId="10" fillId="0" borderId="31" xfId="0" applyFont="1" applyBorder="1" applyAlignment="1">
      <alignment horizontal="center" vertical="center" wrapText="1"/>
    </xf>
    <xf numFmtId="0" fontId="10" fillId="0" borderId="36" xfId="0" applyFont="1" applyBorder="1" applyAlignment="1">
      <alignment horizontal="center" vertical="center"/>
    </xf>
    <xf numFmtId="0" fontId="10" fillId="0" borderId="23" xfId="0" applyFont="1" applyBorder="1" applyAlignment="1">
      <alignment horizontal="center" vertical="center"/>
    </xf>
    <xf numFmtId="0" fontId="10" fillId="0" borderId="22" xfId="0" applyFont="1" applyBorder="1" applyAlignment="1">
      <alignment horizontal="center" vertical="center" wrapText="1"/>
    </xf>
    <xf numFmtId="0" fontId="10" fillId="0" borderId="23" xfId="0" applyFont="1" applyBorder="1" applyAlignment="1">
      <alignment horizontal="center" vertical="center" wrapText="1"/>
    </xf>
    <xf numFmtId="0" fontId="10" fillId="0" borderId="27" xfId="0" applyFont="1" applyBorder="1" applyAlignment="1">
      <alignment horizontal="center" vertical="center"/>
    </xf>
    <xf numFmtId="0" fontId="10" fillId="0" borderId="38" xfId="0" applyFont="1" applyBorder="1" applyAlignment="1">
      <alignment horizontal="center" vertical="center"/>
    </xf>
    <xf numFmtId="0" fontId="32" fillId="0" borderId="0" xfId="2" applyFont="1" applyAlignment="1">
      <alignment horizontal="center" vertical="center"/>
    </xf>
    <xf numFmtId="0" fontId="37" fillId="0" borderId="0" xfId="2" applyFont="1">
      <alignment vertical="center"/>
    </xf>
    <xf numFmtId="49" fontId="10" fillId="0" borderId="29" xfId="2" applyNumberFormat="1" applyFont="1" applyBorder="1" applyAlignment="1">
      <alignment horizontal="center" vertical="center" wrapText="1"/>
    </xf>
    <xf numFmtId="49" fontId="10" fillId="0" borderId="33" xfId="2" applyNumberFormat="1" applyFont="1" applyBorder="1" applyAlignment="1">
      <alignment horizontal="center" vertical="center" wrapText="1"/>
    </xf>
    <xf numFmtId="49" fontId="10" fillId="0" borderId="35" xfId="2" applyNumberFormat="1" applyFont="1" applyBorder="1" applyAlignment="1">
      <alignment horizontal="center" vertical="center" wrapText="1"/>
    </xf>
    <xf numFmtId="0" fontId="65" fillId="0" borderId="37" xfId="2" applyFont="1" applyBorder="1" applyAlignment="1">
      <alignment horizontal="center" vertical="center"/>
    </xf>
    <xf numFmtId="0" fontId="60" fillId="0" borderId="12" xfId="2" applyFont="1" applyBorder="1" applyAlignment="1">
      <alignment horizontal="center" vertical="center"/>
    </xf>
    <xf numFmtId="0" fontId="60" fillId="0" borderId="42" xfId="2" applyFont="1" applyBorder="1" applyAlignment="1">
      <alignment horizontal="center" vertical="center"/>
    </xf>
    <xf numFmtId="43" fontId="46" fillId="2" borderId="36" xfId="1" applyFont="1" applyFill="1" applyBorder="1" applyAlignment="1">
      <alignment horizontal="center" vertical="center"/>
    </xf>
    <xf numFmtId="43" fontId="46" fillId="2" borderId="46" xfId="1" applyFont="1" applyFill="1" applyBorder="1" applyAlignment="1">
      <alignment horizontal="center" vertical="center"/>
    </xf>
    <xf numFmtId="43" fontId="46" fillId="2" borderId="41" xfId="1" applyFont="1" applyFill="1" applyBorder="1" applyAlignment="1">
      <alignment horizontal="center" vertical="center"/>
    </xf>
    <xf numFmtId="0" fontId="60" fillId="0" borderId="37" xfId="2" applyFont="1" applyBorder="1" applyAlignment="1">
      <alignment horizontal="center" vertical="center" wrapText="1"/>
    </xf>
    <xf numFmtId="0" fontId="60" fillId="0" borderId="12" xfId="2" applyFont="1" applyBorder="1" applyAlignment="1">
      <alignment horizontal="center" vertical="center" wrapText="1"/>
    </xf>
    <xf numFmtId="0" fontId="60" fillId="0" borderId="10" xfId="2" applyFont="1" applyBorder="1" applyAlignment="1">
      <alignment horizontal="center" vertical="center" wrapText="1"/>
    </xf>
    <xf numFmtId="0" fontId="60" fillId="0" borderId="0" xfId="2" applyFont="1" applyAlignment="1">
      <alignment horizontal="center" vertical="center"/>
    </xf>
    <xf numFmtId="0" fontId="50" fillId="0" borderId="0" xfId="6" applyFont="1" applyAlignment="1">
      <alignment horizontal="center" vertical="center"/>
    </xf>
    <xf numFmtId="0" fontId="48" fillId="0" borderId="0" xfId="6" applyFont="1" applyAlignment="1">
      <alignment horizontal="center" vertical="center"/>
    </xf>
    <xf numFmtId="0" fontId="10" fillId="0" borderId="0" xfId="6" applyFont="1" applyAlignment="1">
      <alignment horizontal="left" vertical="center"/>
    </xf>
    <xf numFmtId="0" fontId="4" fillId="0" borderId="0" xfId="6" applyFont="1" applyAlignment="1">
      <alignment horizontal="left" vertical="center"/>
    </xf>
    <xf numFmtId="0" fontId="4" fillId="0" borderId="11" xfId="6" applyFont="1" applyBorder="1" applyAlignment="1">
      <alignment horizontal="left" vertical="center"/>
    </xf>
    <xf numFmtId="0" fontId="4" fillId="0" borderId="12" xfId="6" applyFont="1" applyBorder="1" applyAlignment="1">
      <alignment horizontal="left" vertical="center"/>
    </xf>
    <xf numFmtId="0" fontId="4" fillId="0" borderId="10" xfId="6" applyFont="1" applyBorder="1" applyAlignment="1">
      <alignment horizontal="left" vertical="center"/>
    </xf>
    <xf numFmtId="0" fontId="4" fillId="0" borderId="0" xfId="6" applyFont="1" applyAlignment="1">
      <alignment horizontal="center"/>
    </xf>
    <xf numFmtId="0" fontId="53" fillId="0" borderId="4" xfId="6" applyFont="1" applyBorder="1" applyAlignment="1">
      <alignment horizontal="left" vertical="top" wrapText="1"/>
    </xf>
    <xf numFmtId="0" fontId="53" fillId="0" borderId="5" xfId="6" applyFont="1" applyBorder="1" applyAlignment="1">
      <alignment horizontal="left" vertical="top" wrapText="1"/>
    </xf>
    <xf numFmtId="0" fontId="56" fillId="0" borderId="2" xfId="6" applyFont="1" applyBorder="1" applyAlignment="1">
      <alignment horizontal="center" vertical="center"/>
    </xf>
    <xf numFmtId="0" fontId="4" fillId="0" borderId="2" xfId="6" applyFont="1" applyBorder="1" applyAlignment="1">
      <alignment horizontal="center" vertical="center"/>
    </xf>
    <xf numFmtId="0" fontId="10" fillId="0" borderId="0" xfId="6" applyFont="1" applyAlignment="1">
      <alignment horizontal="left" vertical="top" wrapText="1"/>
    </xf>
    <xf numFmtId="0" fontId="2" fillId="0" borderId="1" xfId="6" applyBorder="1" applyAlignment="1">
      <alignment horizontal="center" vertical="center"/>
    </xf>
    <xf numFmtId="0" fontId="10" fillId="0" borderId="2" xfId="5" applyFont="1" applyBorder="1" applyAlignment="1">
      <alignment horizontal="center" vertical="center" wrapText="1"/>
    </xf>
    <xf numFmtId="0" fontId="10" fillId="0" borderId="37" xfId="2" applyFont="1" applyBorder="1" applyAlignment="1">
      <alignment horizontal="center" vertical="center"/>
    </xf>
    <xf numFmtId="0" fontId="10" fillId="0" borderId="12" xfId="2" applyFont="1" applyBorder="1" applyAlignment="1">
      <alignment horizontal="center" vertical="center" wrapText="1"/>
    </xf>
  </cellXfs>
  <cellStyles count="12">
    <cellStyle name="百分比 2" xfId="10" xr:uid="{916966F2-1DB3-44C7-9224-CFAB9431F849}"/>
    <cellStyle name="常规" xfId="0" builtinId="0"/>
    <cellStyle name="常规 2" xfId="6" xr:uid="{E1036DE6-1B35-47F8-B9D2-475509118B22}"/>
    <cellStyle name="常规 2 2" xfId="7" xr:uid="{F9DAC407-5FD8-47AA-98FA-9130567BC59E}"/>
    <cellStyle name="常规_1-1流动资产底稿（不含交易性金融资产）" xfId="2" xr:uid="{00000000-0005-0000-0000-000001000000}"/>
    <cellStyle name="常规_1-1流动资产底稿（不含交易性金融资产） 2 2" xfId="5" xr:uid="{B4380100-15C5-4600-AA80-68CF7AFC4698}"/>
    <cellStyle name="常规_A2－交易性金融资产" xfId="3" xr:uid="{00000000-0005-0000-0000-000002000000}"/>
    <cellStyle name="常规_应收账款 3" xfId="8" xr:uid="{AE870340-A7AA-49FF-93FD-E95D290A7BA3}"/>
    <cellStyle name="常规_资产类" xfId="11" xr:uid="{1F96741A-841D-4CA5-9764-05B174BA378F}"/>
    <cellStyle name="超链接" xfId="4" builtinId="8"/>
    <cellStyle name="千位分隔" xfId="1" builtinId="3"/>
    <cellStyle name="千位分隔 2" xfId="9" xr:uid="{76239F9E-0A7A-4692-9E1B-80CAC307387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2</xdr:col>
      <xdr:colOff>234950</xdr:colOff>
      <xdr:row>43</xdr:row>
      <xdr:rowOff>114300</xdr:rowOff>
    </xdr:from>
    <xdr:to>
      <xdr:col>11</xdr:col>
      <xdr:colOff>38100</xdr:colOff>
      <xdr:row>57</xdr:row>
      <xdr:rowOff>53442</xdr:rowOff>
    </xdr:to>
    <xdr:pic>
      <xdr:nvPicPr>
        <xdr:cNvPr id="3" name="图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t="7674" r="2363"/>
        <a:stretch/>
      </xdr:blipFill>
      <xdr:spPr>
        <a:xfrm>
          <a:off x="234950" y="5264150"/>
          <a:ext cx="7645400" cy="2428342"/>
        </a:xfrm>
        <a:prstGeom prst="rect">
          <a:avLst/>
        </a:prstGeom>
      </xdr:spPr>
    </xdr:pic>
    <xdr:clientData/>
  </xdr:twoCellAnchor>
  <xdr:twoCellAnchor editAs="oneCell">
    <xdr:from>
      <xdr:col>2</xdr:col>
      <xdr:colOff>742951</xdr:colOff>
      <xdr:row>60</xdr:row>
      <xdr:rowOff>100142</xdr:rowOff>
    </xdr:from>
    <xdr:to>
      <xdr:col>10</xdr:col>
      <xdr:colOff>127001</xdr:colOff>
      <xdr:row>68</xdr:row>
      <xdr:rowOff>104467</xdr:rowOff>
    </xdr:to>
    <xdr:pic>
      <xdr:nvPicPr>
        <xdr:cNvPr id="4" name="图片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a:srcRect t="29862"/>
        <a:stretch/>
      </xdr:blipFill>
      <xdr:spPr>
        <a:xfrm>
          <a:off x="742951" y="8450392"/>
          <a:ext cx="6565900" cy="1426725"/>
        </a:xfrm>
        <a:prstGeom prst="rect">
          <a:avLst/>
        </a:prstGeom>
      </xdr:spPr>
    </xdr:pic>
    <xdr:clientData/>
  </xdr:twoCellAnchor>
  <xdr:twoCellAnchor editAs="oneCell">
    <xdr:from>
      <xdr:col>2</xdr:col>
      <xdr:colOff>266701</xdr:colOff>
      <xdr:row>71</xdr:row>
      <xdr:rowOff>66616</xdr:rowOff>
    </xdr:from>
    <xdr:to>
      <xdr:col>11</xdr:col>
      <xdr:colOff>158751</xdr:colOff>
      <xdr:row>80</xdr:row>
      <xdr:rowOff>28149</xdr:rowOff>
    </xdr:to>
    <xdr:pic>
      <xdr:nvPicPr>
        <xdr:cNvPr id="7" name="图片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266701" y="10194866"/>
          <a:ext cx="7734300" cy="1561733"/>
        </a:xfrm>
        <a:prstGeom prst="rect">
          <a:avLst/>
        </a:prstGeom>
      </xdr:spPr>
    </xdr:pic>
    <xdr:clientData/>
  </xdr:twoCellAnchor>
  <xdr:twoCellAnchor editAs="oneCell">
    <xdr:from>
      <xdr:col>2</xdr:col>
      <xdr:colOff>149044</xdr:colOff>
      <xdr:row>98</xdr:row>
      <xdr:rowOff>120650</xdr:rowOff>
    </xdr:from>
    <xdr:to>
      <xdr:col>11</xdr:col>
      <xdr:colOff>474777</xdr:colOff>
      <xdr:row>121</xdr:row>
      <xdr:rowOff>75443</xdr:rowOff>
    </xdr:to>
    <xdr:pic>
      <xdr:nvPicPr>
        <xdr:cNvPr id="9" name="图片 8">
          <a:extLst>
            <a:ext uri="{FF2B5EF4-FFF2-40B4-BE49-F238E27FC236}">
              <a16:creationId xmlns:a16="http://schemas.microsoft.com/office/drawing/2014/main" id="{00000000-0008-0000-0000-000009000000}"/>
            </a:ext>
          </a:extLst>
        </xdr:cNvPr>
        <xdr:cNvPicPr>
          <a:picLocks noChangeAspect="1"/>
        </xdr:cNvPicPr>
      </xdr:nvPicPr>
      <xdr:blipFill rotWithShape="1">
        <a:blip xmlns:r="http://schemas.openxmlformats.org/officeDocument/2006/relationships" r:embed="rId4"/>
        <a:srcRect t="3777"/>
        <a:stretch/>
      </xdr:blipFill>
      <xdr:spPr>
        <a:xfrm>
          <a:off x="149044" y="16281400"/>
          <a:ext cx="8167983" cy="4044193"/>
        </a:xfrm>
        <a:prstGeom prst="rect">
          <a:avLst/>
        </a:prstGeom>
      </xdr:spPr>
    </xdr:pic>
    <xdr:clientData/>
  </xdr:twoCellAnchor>
  <xdr:twoCellAnchor editAs="oneCell">
    <xdr:from>
      <xdr:col>2</xdr:col>
      <xdr:colOff>552450</xdr:colOff>
      <xdr:row>83</xdr:row>
      <xdr:rowOff>131479</xdr:rowOff>
    </xdr:from>
    <xdr:to>
      <xdr:col>10</xdr:col>
      <xdr:colOff>557005</xdr:colOff>
      <xdr:row>95</xdr:row>
      <xdr:rowOff>113770</xdr:rowOff>
    </xdr:to>
    <xdr:pic>
      <xdr:nvPicPr>
        <xdr:cNvPr id="10" name="图片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stretch>
          <a:fillRect/>
        </a:stretch>
      </xdr:blipFill>
      <xdr:spPr>
        <a:xfrm>
          <a:off x="552450" y="12380629"/>
          <a:ext cx="7186405" cy="2115891"/>
        </a:xfrm>
        <a:prstGeom prst="rect">
          <a:avLst/>
        </a:prstGeom>
      </xdr:spPr>
    </xdr:pic>
    <xdr:clientData/>
  </xdr:twoCellAnchor>
  <xdr:twoCellAnchor editAs="oneCell">
    <xdr:from>
      <xdr:col>2</xdr:col>
      <xdr:colOff>838200</xdr:colOff>
      <xdr:row>26</xdr:row>
      <xdr:rowOff>105661</xdr:rowOff>
    </xdr:from>
    <xdr:to>
      <xdr:col>10</xdr:col>
      <xdr:colOff>207335</xdr:colOff>
      <xdr:row>40</xdr:row>
      <xdr:rowOff>11717</xdr:rowOff>
    </xdr:to>
    <xdr:pic>
      <xdr:nvPicPr>
        <xdr:cNvPr id="2" name="图片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6"/>
        <a:srcRect t="14610"/>
        <a:stretch/>
      </xdr:blipFill>
      <xdr:spPr>
        <a:xfrm>
          <a:off x="2711450" y="5128511"/>
          <a:ext cx="6550985" cy="2484156"/>
        </a:xfrm>
        <a:prstGeom prst="rect">
          <a:avLst/>
        </a:prstGeom>
      </xdr:spPr>
    </xdr:pic>
    <xdr:clientData/>
  </xdr:twoCellAnchor>
  <xdr:twoCellAnchor editAs="oneCell">
    <xdr:from>
      <xdr:col>3</xdr:col>
      <xdr:colOff>54431</xdr:colOff>
      <xdr:row>12</xdr:row>
      <xdr:rowOff>70061</xdr:rowOff>
    </xdr:from>
    <xdr:to>
      <xdr:col>9</xdr:col>
      <xdr:colOff>208645</xdr:colOff>
      <xdr:row>24</xdr:row>
      <xdr:rowOff>18143</xdr:rowOff>
    </xdr:to>
    <xdr:pic>
      <xdr:nvPicPr>
        <xdr:cNvPr id="5" name="图片 4">
          <a:extLst>
            <a:ext uri="{FF2B5EF4-FFF2-40B4-BE49-F238E27FC236}">
              <a16:creationId xmlns:a16="http://schemas.microsoft.com/office/drawing/2014/main" id="{5B8A579B-423B-444D-B0E9-8C5499A5B9FC}"/>
            </a:ext>
          </a:extLst>
        </xdr:cNvPr>
        <xdr:cNvPicPr>
          <a:picLocks noChangeAspect="1"/>
        </xdr:cNvPicPr>
      </xdr:nvPicPr>
      <xdr:blipFill rotWithShape="1">
        <a:blip xmlns:r="http://schemas.openxmlformats.org/officeDocument/2006/relationships" r:embed="rId7"/>
        <a:srcRect b="16513"/>
        <a:stretch/>
      </xdr:blipFill>
      <xdr:spPr>
        <a:xfrm>
          <a:off x="3093360" y="2537490"/>
          <a:ext cx="5515428" cy="21252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374650</xdr:colOff>
          <xdr:row>2</xdr:row>
          <xdr:rowOff>38100</xdr:rowOff>
        </xdr:from>
        <xdr:to>
          <xdr:col>8</xdr:col>
          <xdr:colOff>101600</xdr:colOff>
          <xdr:row>11</xdr:row>
          <xdr:rowOff>139700</xdr:rowOff>
        </xdr:to>
        <xdr:grpSp>
          <xdr:nvGrpSpPr>
            <xdr:cNvPr id="2" name="组合 1">
              <a:extLst>
                <a:ext uri="{FF2B5EF4-FFF2-40B4-BE49-F238E27FC236}">
                  <a16:creationId xmlns:a16="http://schemas.microsoft.com/office/drawing/2014/main" id="{00000000-0008-0000-0100-000002000000}"/>
                </a:ext>
              </a:extLst>
            </xdr:cNvPr>
            <xdr:cNvGrpSpPr/>
          </xdr:nvGrpSpPr>
          <xdr:grpSpPr>
            <a:xfrm>
              <a:off x="4032250" y="679450"/>
              <a:ext cx="2800350" cy="1701800"/>
              <a:chOff x="4032250" y="679450"/>
              <a:chExt cx="2800350" cy="1701800"/>
            </a:xfrm>
          </xdr:grpSpPr>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4038600" y="114300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生成数据表</a:t>
                </a:r>
              </a:p>
            </xdr:txBody>
          </xdr:sp>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5543550" y="113030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删除数据表</a:t>
                </a:r>
              </a:p>
            </xdr:txBody>
          </xdr:sp>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4032250" y="160655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生成询证函</a:t>
                </a:r>
              </a:p>
            </xdr:txBody>
          </xdr:sp>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5537200" y="160655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删除询证函</a:t>
                </a:r>
              </a:p>
            </xdr:txBody>
          </xdr:sp>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4038600" y="206375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生成PDF函证</a:t>
                </a:r>
              </a:p>
            </xdr:txBody>
          </xdr:sp>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4038600" y="69850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显示函证模板</a:t>
                </a:r>
              </a:p>
            </xdr:txBody>
          </xdr:sp>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5530850" y="679450"/>
                <a:ext cx="1289050" cy="31750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隐藏函证模板</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76200</xdr:colOff>
      <xdr:row>0</xdr:row>
      <xdr:rowOff>38100</xdr:rowOff>
    </xdr:from>
    <xdr:to>
      <xdr:col>2</xdr:col>
      <xdr:colOff>137584</xdr:colOff>
      <xdr:row>0</xdr:row>
      <xdr:rowOff>495300</xdr:rowOff>
    </xdr:to>
    <xdr:pic>
      <xdr:nvPicPr>
        <xdr:cNvPr id="2" name="图片 2">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 y="38100"/>
          <a:ext cx="1864784"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44823</xdr:colOff>
      <xdr:row>0</xdr:row>
      <xdr:rowOff>0</xdr:rowOff>
    </xdr:from>
    <xdr:to>
      <xdr:col>1</xdr:col>
      <xdr:colOff>448236</xdr:colOff>
      <xdr:row>0</xdr:row>
      <xdr:rowOff>466165</xdr:rowOff>
    </xdr:to>
    <xdr:pic>
      <xdr:nvPicPr>
        <xdr:cNvPr id="6" name="图片 5">
          <a:extLst>
            <a:ext uri="{FF2B5EF4-FFF2-40B4-BE49-F238E27FC236}">
              <a16:creationId xmlns:a16="http://schemas.microsoft.com/office/drawing/2014/main" id="{00000000-0008-0000-0400-000006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a:xfrm>
          <a:off x="44823" y="0"/>
          <a:ext cx="2016313" cy="466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825500</xdr:colOff>
      <xdr:row>0</xdr:row>
      <xdr:rowOff>492089</xdr:rowOff>
    </xdr:to>
    <xdr:pic>
      <xdr:nvPicPr>
        <xdr:cNvPr id="2" name="图片 2">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1703917" cy="4920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33019</xdr:colOff>
      <xdr:row>0</xdr:row>
      <xdr:rowOff>58420</xdr:rowOff>
    </xdr:from>
    <xdr:ext cx="2645015" cy="436880"/>
    <xdr:pic>
      <xdr:nvPicPr>
        <xdr:cNvPr id="2" name="图片 2">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3019" y="58420"/>
          <a:ext cx="2645015" cy="436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F6CDEA-4811-42DE-B2AB-262BD5AC6BC9}">
  <sheetPr codeName="Sheet5"/>
  <dimension ref="A1:N126"/>
  <sheetViews>
    <sheetView zoomScale="70" zoomScaleNormal="70" workbookViewId="0">
      <pane xSplit="2" ySplit="1" topLeftCell="C17" activePane="bottomRight" state="frozen"/>
      <selection pane="topRight" activeCell="C1" sqref="C1"/>
      <selection pane="bottomLeft" activeCell="A2" sqref="A2"/>
      <selection pane="bottomRight" activeCell="H5" sqref="H5"/>
    </sheetView>
  </sheetViews>
  <sheetFormatPr defaultRowHeight="14"/>
  <cols>
    <col min="1" max="1" width="6.4140625" customWidth="1"/>
    <col min="2" max="2" width="18.1640625" customWidth="1"/>
    <col min="3" max="3" width="15.25" customWidth="1"/>
    <col min="4" max="4" width="16.6640625" customWidth="1"/>
    <col min="5" max="5" width="12.6640625" customWidth="1"/>
    <col min="6" max="6" width="13.6640625" customWidth="1"/>
    <col min="9" max="9" width="10" bestFit="1" customWidth="1"/>
    <col min="14" max="14" width="16.08203125" customWidth="1"/>
  </cols>
  <sheetData>
    <row r="1" spans="1:14" ht="34.5">
      <c r="A1" s="296" t="s">
        <v>352</v>
      </c>
      <c r="B1" s="301" t="s">
        <v>186</v>
      </c>
      <c r="C1" s="297" t="s">
        <v>127</v>
      </c>
      <c r="D1" s="297"/>
      <c r="E1" s="297"/>
      <c r="F1" s="297"/>
      <c r="G1" s="297"/>
      <c r="H1" s="298" t="str">
        <f>HYPERLINK("#基本信息!I1","返回基本信息")</f>
        <v>返回基本信息</v>
      </c>
      <c r="I1" s="299"/>
      <c r="J1" s="297"/>
      <c r="K1" s="298" t="str">
        <f>HYPERLINK("#操作平台!A3","返回操作平台")</f>
        <v>返回操作平台</v>
      </c>
      <c r="L1" s="297"/>
      <c r="M1" s="80"/>
      <c r="N1" s="74"/>
    </row>
    <row r="2" spans="1:14">
      <c r="A2" s="295">
        <f>HYPERLINK("#"&amp;B2&amp;"!A1",ROW(B2)-1)</f>
        <v>1</v>
      </c>
      <c r="B2" s="87" t="s">
        <v>185</v>
      </c>
      <c r="C2" s="73" t="s">
        <v>121</v>
      </c>
      <c r="D2" s="74"/>
      <c r="E2" s="74"/>
      <c r="F2" s="74"/>
      <c r="G2" s="74"/>
      <c r="H2" s="74"/>
      <c r="I2" s="74"/>
      <c r="J2" s="74"/>
      <c r="K2" s="74"/>
      <c r="L2" s="74"/>
      <c r="M2" s="74"/>
      <c r="N2" s="74"/>
    </row>
    <row r="3" spans="1:14" ht="15.5" customHeight="1">
      <c r="A3" s="295">
        <f>HYPERLINK("#"&amp;B3&amp;"!A1",ROW(B3)-1)</f>
        <v>2</v>
      </c>
      <c r="B3" s="87" t="s">
        <v>184</v>
      </c>
      <c r="C3" s="312" t="s">
        <v>128</v>
      </c>
      <c r="D3" s="313"/>
      <c r="E3" s="313"/>
      <c r="F3" s="313"/>
      <c r="G3" s="313"/>
      <c r="H3" s="313"/>
      <c r="I3" s="313"/>
      <c r="J3" s="313"/>
      <c r="K3" s="313"/>
      <c r="L3" s="91"/>
      <c r="M3" s="86"/>
      <c r="N3" s="74"/>
    </row>
    <row r="4" spans="1:14" ht="15.5" customHeight="1">
      <c r="A4" s="295">
        <f>HYPERLINK("#"&amp;B4&amp;"!A1",ROW(B4)-1)</f>
        <v>3</v>
      </c>
      <c r="B4" s="90" t="s">
        <v>298</v>
      </c>
      <c r="C4" s="312"/>
      <c r="D4" s="313"/>
      <c r="E4" s="313"/>
      <c r="F4" s="313"/>
      <c r="G4" s="313"/>
      <c r="H4" s="313"/>
      <c r="I4" s="313"/>
      <c r="J4" s="313"/>
      <c r="K4" s="313"/>
      <c r="L4" s="91"/>
      <c r="M4" s="86"/>
      <c r="N4" s="74"/>
    </row>
    <row r="5" spans="1:14">
      <c r="A5" s="295">
        <f>HYPERLINK("#"&amp;B5&amp;"!A1",ROW(B5)-1)</f>
        <v>4</v>
      </c>
      <c r="B5" s="90" t="s">
        <v>320</v>
      </c>
      <c r="C5" s="74" t="s">
        <v>124</v>
      </c>
      <c r="D5" s="74"/>
      <c r="E5" s="74"/>
      <c r="F5" s="74"/>
      <c r="G5" s="74"/>
      <c r="H5" s="74"/>
      <c r="I5" s="74"/>
      <c r="J5" s="74"/>
      <c r="K5" s="74"/>
      <c r="L5" s="74"/>
      <c r="M5" s="74"/>
      <c r="N5" s="74"/>
    </row>
    <row r="6" spans="1:14">
      <c r="A6" s="88"/>
      <c r="B6" s="90"/>
      <c r="C6" s="74" t="s">
        <v>125</v>
      </c>
      <c r="D6" s="74"/>
      <c r="E6" s="74"/>
      <c r="F6" s="74"/>
      <c r="G6" s="74"/>
      <c r="H6" s="74"/>
      <c r="I6" s="74"/>
      <c r="J6" s="74"/>
      <c r="K6" s="74"/>
      <c r="L6" s="74"/>
      <c r="M6" s="74"/>
      <c r="N6" s="74"/>
    </row>
    <row r="7" spans="1:14">
      <c r="A7" s="88"/>
      <c r="B7" s="90"/>
      <c r="C7" s="74" t="s">
        <v>126</v>
      </c>
      <c r="D7" s="74"/>
      <c r="E7" s="74"/>
      <c r="F7" s="74"/>
      <c r="G7" s="74"/>
      <c r="H7" s="74"/>
      <c r="I7" s="74"/>
      <c r="J7" s="74"/>
      <c r="K7" s="74"/>
      <c r="L7" s="74"/>
      <c r="M7" s="74"/>
      <c r="N7" s="74"/>
    </row>
    <row r="8" spans="1:14">
      <c r="A8" s="88"/>
      <c r="B8" s="90"/>
      <c r="C8" s="74"/>
      <c r="D8" s="74"/>
      <c r="E8" s="74"/>
      <c r="F8" s="74"/>
      <c r="G8" s="74"/>
      <c r="H8" s="74"/>
      <c r="I8" s="75"/>
      <c r="J8" s="74"/>
      <c r="K8" s="74"/>
      <c r="L8" s="74"/>
      <c r="M8" s="74"/>
      <c r="N8" s="300"/>
    </row>
    <row r="9" spans="1:14">
      <c r="A9" s="88"/>
      <c r="B9" s="90"/>
      <c r="C9" s="74"/>
      <c r="D9" s="74"/>
      <c r="E9" s="74"/>
      <c r="F9" s="74"/>
      <c r="G9" s="74"/>
      <c r="H9" s="74"/>
      <c r="I9" s="76"/>
      <c r="J9" s="74"/>
      <c r="K9" s="74"/>
      <c r="L9" s="74"/>
      <c r="M9" s="74"/>
      <c r="N9" s="74"/>
    </row>
    <row r="10" spans="1:14">
      <c r="A10" s="88"/>
      <c r="B10" s="90"/>
      <c r="C10" s="73" t="s">
        <v>119</v>
      </c>
      <c r="D10" s="74"/>
      <c r="E10" s="74"/>
      <c r="F10" s="74"/>
      <c r="G10" s="74"/>
      <c r="H10" s="74"/>
      <c r="I10" s="74"/>
      <c r="J10" s="74"/>
      <c r="K10" s="74"/>
      <c r="L10" s="74"/>
      <c r="M10" s="74"/>
      <c r="N10" s="74"/>
    </row>
    <row r="11" spans="1:14" ht="14.5" customHeight="1">
      <c r="A11" s="88"/>
      <c r="B11" s="90"/>
      <c r="C11" s="74" t="s">
        <v>299</v>
      </c>
      <c r="D11" s="74"/>
      <c r="E11" s="74"/>
      <c r="F11" s="74"/>
      <c r="G11" s="74"/>
      <c r="H11" s="74"/>
      <c r="I11" s="74"/>
      <c r="J11" s="74"/>
      <c r="K11" s="74"/>
      <c r="L11" s="74"/>
      <c r="M11" s="74"/>
      <c r="N11" s="74"/>
    </row>
    <row r="12" spans="1:14" ht="14.5" customHeight="1">
      <c r="A12" s="88"/>
      <c r="B12" s="90"/>
      <c r="C12" s="74" t="s">
        <v>353</v>
      </c>
      <c r="D12" s="74"/>
      <c r="E12" s="74"/>
      <c r="F12" s="74"/>
      <c r="G12" s="74"/>
      <c r="H12" s="74"/>
      <c r="I12" s="74"/>
      <c r="J12" s="74"/>
      <c r="K12" s="74"/>
      <c r="L12" s="74"/>
      <c r="M12" s="74"/>
      <c r="N12" s="74"/>
    </row>
    <row r="13" spans="1:14" ht="14.5" customHeight="1">
      <c r="A13" s="88"/>
      <c r="B13" s="89"/>
      <c r="C13" s="74"/>
      <c r="D13" s="74"/>
      <c r="E13" s="74"/>
      <c r="F13" s="74"/>
      <c r="G13" s="74"/>
      <c r="H13" s="74"/>
      <c r="I13" s="74"/>
      <c r="J13" s="74"/>
      <c r="K13" s="74"/>
      <c r="L13" s="74"/>
      <c r="M13" s="74"/>
      <c r="N13" s="74"/>
    </row>
    <row r="14" spans="1:14" ht="14.5" customHeight="1">
      <c r="A14" s="88"/>
      <c r="B14" s="89"/>
      <c r="C14" s="74"/>
      <c r="D14" s="74"/>
      <c r="E14" s="74"/>
      <c r="F14" s="74"/>
      <c r="G14" s="74"/>
      <c r="H14" s="74"/>
      <c r="I14" s="74"/>
      <c r="J14" s="74"/>
      <c r="K14" s="74"/>
      <c r="L14" s="74"/>
      <c r="M14" s="74"/>
      <c r="N14" s="74"/>
    </row>
    <row r="15" spans="1:14" ht="14.5" customHeight="1">
      <c r="A15" s="88"/>
      <c r="B15" s="89"/>
      <c r="C15" s="74"/>
      <c r="D15" s="74"/>
      <c r="E15" s="74"/>
      <c r="F15" s="74"/>
      <c r="G15" s="74"/>
      <c r="H15" s="74"/>
      <c r="I15" s="74"/>
      <c r="J15" s="74"/>
      <c r="K15" s="74"/>
      <c r="L15" s="74"/>
      <c r="M15" s="74"/>
      <c r="N15" s="74"/>
    </row>
    <row r="16" spans="1:14" ht="14.5" customHeight="1">
      <c r="A16" s="88"/>
      <c r="B16" s="89"/>
      <c r="C16" s="74"/>
      <c r="D16" s="74"/>
      <c r="E16" s="74"/>
      <c r="F16" s="74"/>
      <c r="G16" s="74"/>
      <c r="H16" s="74"/>
      <c r="I16" s="74"/>
      <c r="J16" s="74"/>
      <c r="K16" s="74"/>
      <c r="L16" s="74"/>
      <c r="M16" s="74"/>
      <c r="N16" s="74"/>
    </row>
    <row r="17" spans="1:14" ht="14.5" customHeight="1">
      <c r="A17" s="88"/>
      <c r="B17" s="89"/>
      <c r="C17" s="74"/>
      <c r="D17" s="74"/>
      <c r="E17" s="74"/>
      <c r="F17" s="74"/>
      <c r="G17" s="74"/>
      <c r="H17" s="74"/>
      <c r="I17" s="74"/>
      <c r="J17" s="74"/>
      <c r="K17" s="74"/>
      <c r="L17" s="74"/>
      <c r="M17" s="74"/>
      <c r="N17" s="74"/>
    </row>
    <row r="18" spans="1:14" ht="14.5" customHeight="1">
      <c r="A18" s="88"/>
      <c r="B18" s="89"/>
      <c r="C18" s="74"/>
      <c r="D18" s="74"/>
      <c r="E18" s="74"/>
      <c r="F18" s="74"/>
      <c r="G18" s="74"/>
      <c r="H18" s="74"/>
      <c r="I18" s="74"/>
      <c r="J18" s="74"/>
      <c r="K18" s="74"/>
      <c r="L18" s="74"/>
      <c r="M18" s="74"/>
      <c r="N18" s="74"/>
    </row>
    <row r="19" spans="1:14" ht="14.5" customHeight="1">
      <c r="A19" s="88"/>
      <c r="B19" s="89"/>
      <c r="C19" s="74"/>
      <c r="D19" s="74"/>
      <c r="E19" s="74"/>
      <c r="F19" s="74"/>
      <c r="G19" s="74"/>
      <c r="H19" s="74"/>
      <c r="I19" s="74"/>
      <c r="J19" s="74"/>
      <c r="K19" s="74"/>
      <c r="L19" s="74"/>
      <c r="M19" s="74"/>
      <c r="N19" s="74"/>
    </row>
    <row r="20" spans="1:14" ht="14.5" customHeight="1">
      <c r="A20" s="88"/>
      <c r="B20" s="89"/>
      <c r="C20" s="74"/>
      <c r="D20" s="74"/>
      <c r="E20" s="74"/>
      <c r="F20" s="74"/>
      <c r="G20" s="74"/>
      <c r="H20" s="74"/>
      <c r="I20" s="74"/>
      <c r="J20" s="74"/>
      <c r="K20" s="74"/>
      <c r="L20" s="74"/>
      <c r="M20" s="74"/>
      <c r="N20" s="74"/>
    </row>
    <row r="21" spans="1:14" ht="14.5" customHeight="1">
      <c r="A21" s="88"/>
      <c r="B21" s="89"/>
      <c r="C21" s="74"/>
      <c r="D21" s="74"/>
      <c r="E21" s="74"/>
      <c r="F21" s="74"/>
      <c r="G21" s="74"/>
      <c r="H21" s="74"/>
      <c r="I21" s="74"/>
      <c r="J21" s="74"/>
      <c r="K21" s="74"/>
      <c r="L21" s="74"/>
      <c r="M21" s="74"/>
      <c r="N21" s="74"/>
    </row>
    <row r="22" spans="1:14" ht="14.5" customHeight="1">
      <c r="A22" s="88"/>
      <c r="B22" s="89"/>
      <c r="C22" s="74"/>
      <c r="D22" s="74"/>
      <c r="E22" s="74"/>
      <c r="F22" s="74"/>
      <c r="G22" s="74"/>
      <c r="H22" s="74"/>
      <c r="I22" s="74"/>
      <c r="J22" s="74"/>
      <c r="K22" s="74"/>
      <c r="L22" s="74"/>
      <c r="M22" s="74"/>
      <c r="N22" s="74"/>
    </row>
    <row r="23" spans="1:14" ht="14.5" customHeight="1">
      <c r="A23" s="88"/>
      <c r="B23" s="89"/>
      <c r="C23" s="74"/>
      <c r="D23" s="74"/>
      <c r="E23" s="74"/>
      <c r="F23" s="74"/>
      <c r="G23" s="74"/>
      <c r="H23" s="74"/>
      <c r="I23" s="74"/>
      <c r="J23" s="74"/>
      <c r="K23" s="74"/>
      <c r="L23" s="74"/>
      <c r="M23" s="74"/>
      <c r="N23" s="74"/>
    </row>
    <row r="24" spans="1:14" ht="14.5" customHeight="1">
      <c r="A24" s="88"/>
      <c r="B24" s="89"/>
      <c r="C24" s="74"/>
      <c r="D24" s="74"/>
      <c r="E24" s="74"/>
      <c r="F24" s="74"/>
      <c r="G24" s="74"/>
      <c r="H24" s="74"/>
      <c r="I24" s="74"/>
      <c r="J24" s="74"/>
      <c r="K24" s="74"/>
      <c r="L24" s="74"/>
      <c r="M24" s="74"/>
      <c r="N24" s="74"/>
    </row>
    <row r="25" spans="1:14" ht="14.5" customHeight="1">
      <c r="A25" s="88"/>
      <c r="B25" s="89"/>
      <c r="C25" s="314" t="s">
        <v>354</v>
      </c>
      <c r="D25" s="311"/>
      <c r="E25" s="311"/>
      <c r="F25" s="311"/>
      <c r="G25" s="311"/>
      <c r="H25" s="311"/>
      <c r="I25" s="311"/>
      <c r="J25" s="311"/>
      <c r="K25" s="311"/>
      <c r="L25" s="74"/>
      <c r="M25" s="74"/>
      <c r="N25" s="74"/>
    </row>
    <row r="26" spans="1:14" ht="14.5" customHeight="1">
      <c r="A26" s="88"/>
      <c r="B26" s="89"/>
      <c r="C26" s="314"/>
      <c r="D26" s="311"/>
      <c r="E26" s="311"/>
      <c r="F26" s="311"/>
      <c r="G26" s="311"/>
      <c r="H26" s="311"/>
      <c r="I26" s="311"/>
      <c r="J26" s="311"/>
      <c r="K26" s="311"/>
      <c r="L26" s="74"/>
      <c r="M26" s="74"/>
      <c r="N26" s="74"/>
    </row>
    <row r="27" spans="1:14" ht="14.5" customHeight="1">
      <c r="A27" s="88"/>
      <c r="B27" s="89"/>
      <c r="C27" s="74"/>
      <c r="D27" s="74"/>
      <c r="E27" s="74"/>
      <c r="F27" s="74"/>
      <c r="G27" s="74"/>
      <c r="H27" s="74"/>
      <c r="I27" s="74"/>
      <c r="J27" s="74"/>
      <c r="K27" s="74"/>
      <c r="L27" s="74"/>
      <c r="M27" s="74"/>
      <c r="N27" s="74"/>
    </row>
    <row r="28" spans="1:14" ht="14.5" customHeight="1">
      <c r="A28" s="88"/>
      <c r="B28" s="89"/>
      <c r="C28" s="74"/>
      <c r="D28" s="74"/>
      <c r="E28" s="74"/>
      <c r="F28" s="74"/>
      <c r="G28" s="74"/>
      <c r="H28" s="74"/>
      <c r="I28" s="74"/>
      <c r="J28" s="74"/>
      <c r="K28" s="74"/>
      <c r="L28" s="74"/>
      <c r="M28" s="74"/>
      <c r="N28" s="74"/>
    </row>
    <row r="29" spans="1:14" ht="14.5" customHeight="1">
      <c r="A29" s="88"/>
      <c r="B29" s="89"/>
      <c r="C29" s="74"/>
      <c r="D29" s="74"/>
      <c r="E29" s="74"/>
      <c r="F29" s="74"/>
      <c r="G29" s="74"/>
      <c r="H29" s="74"/>
      <c r="I29" s="74"/>
      <c r="J29" s="74"/>
      <c r="K29" s="74"/>
      <c r="L29" s="74"/>
      <c r="M29" s="74"/>
      <c r="N29" s="74"/>
    </row>
    <row r="30" spans="1:14" ht="14.5" customHeight="1">
      <c r="A30" s="88"/>
      <c r="B30" s="89"/>
      <c r="C30" s="74"/>
      <c r="D30" s="74"/>
      <c r="E30" s="74"/>
      <c r="F30" s="74"/>
      <c r="G30" s="74"/>
      <c r="H30" s="74"/>
      <c r="I30" s="74"/>
      <c r="J30" s="74"/>
      <c r="K30" s="74"/>
      <c r="L30" s="74"/>
      <c r="M30" s="74"/>
      <c r="N30" s="74"/>
    </row>
    <row r="31" spans="1:14" ht="14.5" customHeight="1">
      <c r="A31" s="88"/>
      <c r="B31" s="89"/>
      <c r="C31" s="74"/>
      <c r="D31" s="74"/>
      <c r="E31" s="74"/>
      <c r="F31" s="74"/>
      <c r="G31" s="74"/>
      <c r="H31" s="74"/>
      <c r="I31" s="74"/>
      <c r="J31" s="74"/>
      <c r="K31" s="74"/>
      <c r="L31" s="74"/>
      <c r="M31" s="74"/>
      <c r="N31" s="74"/>
    </row>
    <row r="32" spans="1:14" ht="14.5" customHeight="1">
      <c r="A32" s="88"/>
      <c r="B32" s="89"/>
      <c r="C32" s="74"/>
      <c r="D32" s="74"/>
      <c r="E32" s="74"/>
      <c r="F32" s="74"/>
      <c r="G32" s="74"/>
      <c r="H32" s="74"/>
      <c r="I32" s="74"/>
      <c r="J32" s="74"/>
      <c r="K32" s="74"/>
      <c r="L32" s="74"/>
      <c r="M32" s="74"/>
      <c r="N32" s="74"/>
    </row>
    <row r="33" spans="1:14" ht="14.5" customHeight="1">
      <c r="A33" s="88"/>
      <c r="B33" s="89"/>
      <c r="C33" s="74"/>
      <c r="D33" s="74"/>
      <c r="E33" s="74"/>
      <c r="F33" s="74"/>
      <c r="G33" s="74"/>
      <c r="H33" s="74"/>
      <c r="I33" s="74"/>
      <c r="J33" s="74"/>
      <c r="K33" s="74"/>
      <c r="L33" s="74"/>
      <c r="M33" s="74"/>
      <c r="N33" s="74"/>
    </row>
    <row r="34" spans="1:14" ht="14.5" customHeight="1">
      <c r="A34" s="88"/>
      <c r="B34" s="89"/>
      <c r="C34" s="74"/>
      <c r="D34" s="74"/>
      <c r="E34" s="74"/>
      <c r="F34" s="74"/>
      <c r="G34" s="74"/>
      <c r="H34" s="74"/>
      <c r="I34" s="74"/>
      <c r="J34" s="74"/>
      <c r="K34" s="74"/>
      <c r="L34" s="74"/>
      <c r="M34" s="74"/>
      <c r="N34" s="74"/>
    </row>
    <row r="35" spans="1:14" ht="14.5" customHeight="1">
      <c r="A35" s="88"/>
      <c r="B35" s="89"/>
      <c r="C35" s="74"/>
      <c r="D35" s="74"/>
      <c r="E35" s="74"/>
      <c r="F35" s="74"/>
      <c r="G35" s="74"/>
      <c r="H35" s="74"/>
      <c r="I35" s="74"/>
      <c r="J35" s="74"/>
      <c r="K35" s="74"/>
      <c r="L35" s="74"/>
      <c r="M35" s="74"/>
      <c r="N35" s="74"/>
    </row>
    <row r="36" spans="1:14" ht="14.5" customHeight="1">
      <c r="A36" s="88"/>
      <c r="B36" s="89"/>
      <c r="C36" s="74"/>
      <c r="D36" s="74"/>
      <c r="E36" s="74"/>
      <c r="F36" s="74"/>
      <c r="G36" s="74"/>
      <c r="H36" s="74"/>
      <c r="I36" s="74"/>
      <c r="J36" s="74"/>
      <c r="K36" s="74"/>
      <c r="L36" s="74"/>
      <c r="M36" s="74"/>
      <c r="N36" s="74"/>
    </row>
    <row r="37" spans="1:14" ht="14.5" customHeight="1">
      <c r="A37" s="88"/>
      <c r="B37" s="89"/>
      <c r="C37" s="74"/>
      <c r="D37" s="74"/>
      <c r="E37" s="74"/>
      <c r="F37" s="74"/>
      <c r="G37" s="74"/>
      <c r="H37" s="74"/>
      <c r="I37" s="74"/>
      <c r="J37" s="74"/>
      <c r="K37" s="74"/>
      <c r="L37" s="74"/>
      <c r="M37" s="74"/>
      <c r="N37" s="74"/>
    </row>
    <row r="38" spans="1:14" ht="14.5" customHeight="1">
      <c r="A38" s="88"/>
      <c r="B38" s="89"/>
      <c r="C38" s="74"/>
      <c r="D38" s="74"/>
      <c r="E38" s="74"/>
      <c r="F38" s="74"/>
      <c r="G38" s="74"/>
      <c r="H38" s="74"/>
      <c r="I38" s="74"/>
      <c r="J38" s="74"/>
      <c r="K38" s="74"/>
      <c r="L38" s="74"/>
      <c r="M38" s="74"/>
      <c r="N38" s="74"/>
    </row>
    <row r="39" spans="1:14" ht="14.5" customHeight="1">
      <c r="A39" s="88"/>
      <c r="B39" s="89"/>
      <c r="C39" s="74"/>
      <c r="D39" s="74"/>
      <c r="E39" s="74"/>
      <c r="F39" s="74"/>
      <c r="G39" s="74"/>
      <c r="H39" s="74"/>
      <c r="I39" s="74"/>
      <c r="J39" s="74"/>
      <c r="K39" s="74"/>
      <c r="L39" s="74"/>
      <c r="M39" s="74"/>
      <c r="N39" s="74"/>
    </row>
    <row r="40" spans="1:14" ht="14.5" customHeight="1">
      <c r="A40" s="88"/>
      <c r="B40" s="89"/>
      <c r="C40" s="74"/>
      <c r="D40" s="74"/>
      <c r="E40" s="74"/>
      <c r="F40" s="74"/>
      <c r="G40" s="74"/>
      <c r="H40" s="74"/>
      <c r="I40" s="74"/>
      <c r="J40" s="74"/>
      <c r="K40" s="74"/>
      <c r="L40" s="74"/>
      <c r="M40" s="74"/>
      <c r="N40" s="74"/>
    </row>
    <row r="41" spans="1:14" ht="14.5" customHeight="1">
      <c r="A41" s="88"/>
      <c r="B41" s="89"/>
      <c r="C41" s="74"/>
      <c r="D41" s="74"/>
      <c r="E41" s="74"/>
      <c r="F41" s="74"/>
      <c r="G41" s="74"/>
      <c r="H41" s="74"/>
      <c r="I41" s="74"/>
      <c r="J41" s="74"/>
      <c r="K41" s="74"/>
      <c r="L41" s="74"/>
      <c r="M41" s="74"/>
      <c r="N41" s="74"/>
    </row>
    <row r="42" spans="1:14" ht="14" customHeight="1">
      <c r="A42" s="88"/>
      <c r="B42" s="89"/>
      <c r="C42" s="311" t="s">
        <v>355</v>
      </c>
      <c r="D42" s="311"/>
      <c r="E42" s="311"/>
      <c r="F42" s="311"/>
      <c r="G42" s="311"/>
      <c r="H42" s="311"/>
      <c r="I42" s="311"/>
      <c r="J42" s="311"/>
      <c r="K42" s="311"/>
      <c r="L42" s="311"/>
      <c r="M42" s="79"/>
      <c r="N42" s="74"/>
    </row>
    <row r="43" spans="1:14">
      <c r="A43" s="88"/>
      <c r="B43" s="89"/>
      <c r="C43" s="311"/>
      <c r="D43" s="311"/>
      <c r="E43" s="311"/>
      <c r="F43" s="311"/>
      <c r="G43" s="311"/>
      <c r="H43" s="311"/>
      <c r="I43" s="311"/>
      <c r="J43" s="311"/>
      <c r="K43" s="311"/>
      <c r="L43" s="311"/>
      <c r="M43" s="79"/>
      <c r="N43" s="74"/>
    </row>
    <row r="44" spans="1:14">
      <c r="A44" s="88"/>
      <c r="B44" s="89"/>
      <c r="C44" s="74"/>
      <c r="D44" s="74"/>
      <c r="E44" s="74"/>
      <c r="F44" s="74"/>
      <c r="G44" s="74"/>
      <c r="H44" s="74"/>
      <c r="I44" s="74"/>
      <c r="J44" s="74"/>
      <c r="K44" s="74"/>
      <c r="L44" s="74"/>
      <c r="M44" s="74"/>
      <c r="N44" s="74"/>
    </row>
    <row r="45" spans="1:14">
      <c r="A45" s="88"/>
      <c r="B45" s="89"/>
      <c r="C45" s="74"/>
      <c r="D45" s="74"/>
      <c r="E45" s="74"/>
      <c r="F45" s="74"/>
      <c r="G45" s="74"/>
      <c r="H45" s="74"/>
      <c r="I45" s="74"/>
      <c r="J45" s="74"/>
      <c r="K45" s="74"/>
      <c r="L45" s="74"/>
      <c r="M45" s="74"/>
      <c r="N45" s="74"/>
    </row>
    <row r="46" spans="1:14">
      <c r="A46" s="88"/>
      <c r="B46" s="89"/>
      <c r="C46" s="74"/>
      <c r="D46" s="74"/>
      <c r="E46" s="74"/>
      <c r="F46" s="74"/>
      <c r="G46" s="74"/>
      <c r="H46" s="74"/>
      <c r="I46" s="74"/>
      <c r="J46" s="74"/>
      <c r="K46" s="74"/>
      <c r="L46" s="74"/>
      <c r="M46" s="74"/>
      <c r="N46" s="74"/>
    </row>
    <row r="47" spans="1:14">
      <c r="A47" s="88"/>
      <c r="B47" s="89"/>
      <c r="C47" s="74"/>
      <c r="D47" s="74"/>
      <c r="E47" s="74"/>
      <c r="F47" s="74"/>
      <c r="G47" s="74"/>
      <c r="H47" s="74"/>
      <c r="I47" s="74"/>
      <c r="J47" s="74"/>
      <c r="K47" s="74"/>
      <c r="L47" s="74"/>
      <c r="M47" s="74"/>
      <c r="N47" s="74"/>
    </row>
    <row r="48" spans="1:14">
      <c r="A48" s="88"/>
      <c r="B48" s="89"/>
      <c r="C48" s="74"/>
      <c r="D48" s="74"/>
      <c r="E48" s="74"/>
      <c r="F48" s="74"/>
      <c r="G48" s="74"/>
      <c r="H48" s="74"/>
      <c r="I48" s="74"/>
      <c r="J48" s="74"/>
      <c r="K48" s="74"/>
      <c r="L48" s="74"/>
      <c r="M48" s="74"/>
      <c r="N48" s="74"/>
    </row>
    <row r="49" spans="1:14">
      <c r="A49" s="88"/>
      <c r="B49" s="89"/>
      <c r="C49" s="74"/>
      <c r="D49" s="74"/>
      <c r="E49" s="74"/>
      <c r="F49" s="74"/>
      <c r="G49" s="74"/>
      <c r="H49" s="74"/>
      <c r="I49" s="74"/>
      <c r="J49" s="74"/>
      <c r="K49" s="74"/>
      <c r="L49" s="74"/>
      <c r="M49" s="74"/>
      <c r="N49" s="74"/>
    </row>
    <row r="50" spans="1:14">
      <c r="A50" s="88"/>
      <c r="B50" s="89"/>
      <c r="C50" s="74"/>
      <c r="D50" s="74"/>
      <c r="E50" s="74"/>
      <c r="F50" s="74"/>
      <c r="G50" s="74"/>
      <c r="H50" s="74"/>
      <c r="I50" s="74"/>
      <c r="J50" s="74"/>
      <c r="K50" s="74"/>
      <c r="L50" s="74"/>
      <c r="M50" s="74"/>
      <c r="N50" s="74"/>
    </row>
    <row r="51" spans="1:14">
      <c r="A51" s="88"/>
      <c r="B51" s="89"/>
      <c r="C51" s="74"/>
      <c r="D51" s="74"/>
      <c r="E51" s="74"/>
      <c r="F51" s="74"/>
      <c r="G51" s="74"/>
      <c r="H51" s="74"/>
      <c r="I51" s="74"/>
      <c r="J51" s="74"/>
      <c r="K51" s="74"/>
      <c r="L51" s="74"/>
      <c r="M51" s="74"/>
      <c r="N51" s="74"/>
    </row>
    <row r="52" spans="1:14">
      <c r="A52" s="88"/>
      <c r="B52" s="89"/>
      <c r="C52" s="74"/>
      <c r="D52" s="74"/>
      <c r="E52" s="74"/>
      <c r="F52" s="74"/>
      <c r="G52" s="74"/>
      <c r="H52" s="74"/>
      <c r="I52" s="74"/>
      <c r="J52" s="74"/>
      <c r="K52" s="74"/>
      <c r="L52" s="74"/>
      <c r="M52" s="74"/>
      <c r="N52" s="74"/>
    </row>
    <row r="53" spans="1:14">
      <c r="A53" s="88"/>
      <c r="B53" s="89"/>
      <c r="C53" s="74"/>
      <c r="D53" s="74"/>
      <c r="E53" s="74"/>
      <c r="F53" s="74"/>
      <c r="G53" s="74"/>
      <c r="H53" s="74"/>
      <c r="I53" s="74"/>
      <c r="J53" s="74"/>
      <c r="K53" s="74"/>
      <c r="L53" s="74"/>
      <c r="M53" s="74"/>
      <c r="N53" s="74"/>
    </row>
    <row r="54" spans="1:14">
      <c r="A54" s="88"/>
      <c r="B54" s="89"/>
      <c r="C54" s="74"/>
      <c r="D54" s="74"/>
      <c r="E54" s="74"/>
      <c r="F54" s="74"/>
      <c r="G54" s="74"/>
      <c r="H54" s="74"/>
      <c r="I54" s="74"/>
      <c r="J54" s="74"/>
      <c r="K54" s="74"/>
      <c r="L54" s="74"/>
      <c r="M54" s="74"/>
      <c r="N54" s="74"/>
    </row>
    <row r="55" spans="1:14">
      <c r="A55" s="88"/>
      <c r="B55" s="89"/>
      <c r="C55" s="74"/>
      <c r="D55" s="74"/>
      <c r="E55" s="74"/>
      <c r="F55" s="74"/>
      <c r="G55" s="74"/>
      <c r="H55" s="74"/>
      <c r="I55" s="74"/>
      <c r="J55" s="74"/>
      <c r="K55" s="74"/>
      <c r="L55" s="74"/>
      <c r="M55" s="74"/>
      <c r="N55" s="74"/>
    </row>
    <row r="56" spans="1:14">
      <c r="A56" s="88"/>
      <c r="B56" s="89"/>
      <c r="C56" s="74"/>
      <c r="D56" s="74"/>
      <c r="E56" s="74"/>
      <c r="F56" s="74"/>
      <c r="G56" s="74"/>
      <c r="H56" s="74"/>
      <c r="I56" s="74"/>
      <c r="J56" s="74"/>
      <c r="K56" s="74"/>
      <c r="L56" s="74"/>
      <c r="M56" s="74"/>
      <c r="N56" s="74"/>
    </row>
    <row r="57" spans="1:14">
      <c r="A57" s="88"/>
      <c r="B57" s="89"/>
      <c r="C57" s="74"/>
      <c r="D57" s="74"/>
      <c r="E57" s="74"/>
      <c r="F57" s="74"/>
      <c r="G57" s="74"/>
      <c r="H57" s="74"/>
      <c r="I57" s="74"/>
      <c r="J57" s="74"/>
      <c r="K57" s="74"/>
      <c r="L57" s="74"/>
      <c r="M57" s="74"/>
      <c r="N57" s="74"/>
    </row>
    <row r="58" spans="1:14">
      <c r="A58" s="88"/>
      <c r="B58" s="89"/>
      <c r="C58" s="74"/>
      <c r="D58" s="74"/>
      <c r="E58" s="74"/>
      <c r="F58" s="74"/>
      <c r="G58" s="74"/>
      <c r="H58" s="74"/>
      <c r="I58" s="74"/>
      <c r="J58" s="74"/>
      <c r="K58" s="74"/>
      <c r="L58" s="74"/>
      <c r="M58" s="74"/>
      <c r="N58" s="74"/>
    </row>
    <row r="59" spans="1:14" ht="14" customHeight="1">
      <c r="A59" s="88"/>
      <c r="B59" s="89"/>
      <c r="C59" s="311" t="s">
        <v>129</v>
      </c>
      <c r="D59" s="311"/>
      <c r="E59" s="311"/>
      <c r="F59" s="311"/>
      <c r="G59" s="311"/>
      <c r="H59" s="311"/>
      <c r="I59" s="311"/>
      <c r="J59" s="311"/>
      <c r="K59" s="311"/>
      <c r="L59" s="311"/>
      <c r="M59" s="79"/>
      <c r="N59" s="74"/>
    </row>
    <row r="60" spans="1:14">
      <c r="A60" s="88"/>
      <c r="B60" s="89"/>
      <c r="C60" s="311"/>
      <c r="D60" s="311"/>
      <c r="E60" s="311"/>
      <c r="F60" s="311"/>
      <c r="G60" s="311"/>
      <c r="H60" s="311"/>
      <c r="I60" s="311"/>
      <c r="J60" s="311"/>
      <c r="K60" s="311"/>
      <c r="L60" s="311"/>
      <c r="M60" s="79"/>
      <c r="N60" s="74"/>
    </row>
    <row r="61" spans="1:14">
      <c r="A61" s="88"/>
      <c r="B61" s="89"/>
      <c r="C61" s="74"/>
      <c r="D61" s="74"/>
      <c r="E61" s="74"/>
      <c r="F61" s="74"/>
      <c r="G61" s="74"/>
      <c r="H61" s="74"/>
      <c r="I61" s="74"/>
      <c r="J61" s="74"/>
      <c r="K61" s="74"/>
      <c r="L61" s="74"/>
      <c r="M61" s="74"/>
      <c r="N61" s="74"/>
    </row>
    <row r="62" spans="1:14">
      <c r="A62" s="88"/>
      <c r="B62" s="89"/>
      <c r="C62" s="74"/>
      <c r="D62" s="74"/>
      <c r="E62" s="74"/>
      <c r="F62" s="74"/>
      <c r="G62" s="74"/>
      <c r="H62" s="74"/>
      <c r="I62" s="74"/>
      <c r="J62" s="74"/>
      <c r="K62" s="74"/>
      <c r="L62" s="74"/>
      <c r="M62" s="74"/>
      <c r="N62" s="74"/>
    </row>
    <row r="63" spans="1:14">
      <c r="A63" s="88"/>
      <c r="B63" s="89"/>
      <c r="C63" s="74"/>
      <c r="D63" s="74"/>
      <c r="E63" s="74"/>
      <c r="F63" s="74"/>
      <c r="G63" s="74"/>
      <c r="H63" s="74"/>
      <c r="I63" s="74"/>
      <c r="J63" s="74"/>
      <c r="K63" s="74"/>
      <c r="L63" s="74"/>
      <c r="M63" s="74"/>
      <c r="N63" s="74"/>
    </row>
    <row r="64" spans="1:14">
      <c r="A64" s="88"/>
      <c r="B64" s="89"/>
      <c r="C64" s="74"/>
      <c r="D64" s="74"/>
      <c r="E64" s="74"/>
      <c r="F64" s="74"/>
      <c r="G64" s="74"/>
      <c r="H64" s="74"/>
      <c r="I64" s="74"/>
      <c r="J64" s="74"/>
      <c r="K64" s="74"/>
      <c r="L64" s="74"/>
      <c r="M64" s="74"/>
      <c r="N64" s="74"/>
    </row>
    <row r="65" spans="1:14">
      <c r="A65" s="88"/>
      <c r="B65" s="89"/>
      <c r="C65" s="74"/>
      <c r="D65" s="74"/>
      <c r="E65" s="74"/>
      <c r="F65" s="74"/>
      <c r="G65" s="74"/>
      <c r="H65" s="74"/>
      <c r="I65" s="74"/>
      <c r="J65" s="74"/>
      <c r="K65" s="74"/>
      <c r="L65" s="74"/>
      <c r="M65" s="74"/>
      <c r="N65" s="74"/>
    </row>
    <row r="66" spans="1:14">
      <c r="A66" s="88"/>
      <c r="B66" s="89"/>
      <c r="C66" s="74"/>
      <c r="D66" s="74"/>
      <c r="E66" s="74"/>
      <c r="F66" s="74"/>
      <c r="G66" s="74"/>
      <c r="H66" s="74"/>
      <c r="I66" s="74"/>
      <c r="J66" s="74"/>
      <c r="K66" s="74"/>
      <c r="L66" s="74"/>
      <c r="M66" s="74"/>
      <c r="N66" s="74"/>
    </row>
    <row r="67" spans="1:14">
      <c r="A67" s="88"/>
      <c r="B67" s="89"/>
      <c r="C67" s="74"/>
      <c r="D67" s="74"/>
      <c r="E67" s="74"/>
      <c r="F67" s="74"/>
      <c r="G67" s="74"/>
      <c r="H67" s="74"/>
      <c r="I67" s="74"/>
      <c r="J67" s="74"/>
      <c r="K67" s="74"/>
      <c r="L67" s="74"/>
      <c r="M67" s="74"/>
      <c r="N67" s="74"/>
    </row>
    <row r="68" spans="1:14">
      <c r="A68" s="88"/>
      <c r="B68" s="89"/>
      <c r="C68" s="74"/>
      <c r="D68" s="74"/>
      <c r="E68" s="74"/>
      <c r="F68" s="74"/>
      <c r="G68" s="74"/>
      <c r="H68" s="74"/>
      <c r="I68" s="74"/>
      <c r="J68" s="74"/>
      <c r="K68" s="74"/>
      <c r="L68" s="74"/>
      <c r="M68" s="74"/>
      <c r="N68" s="74"/>
    </row>
    <row r="69" spans="1:14">
      <c r="A69" s="88"/>
      <c r="B69" s="89"/>
      <c r="C69" s="74"/>
      <c r="D69" s="74"/>
      <c r="E69" s="74"/>
      <c r="F69" s="74"/>
      <c r="G69" s="74"/>
      <c r="H69" s="74"/>
      <c r="I69" s="74"/>
      <c r="J69" s="74"/>
      <c r="K69" s="74"/>
      <c r="L69" s="74"/>
      <c r="M69" s="74"/>
      <c r="N69" s="74"/>
    </row>
    <row r="70" spans="1:14">
      <c r="A70" s="88"/>
      <c r="B70" s="89"/>
      <c r="C70" s="74"/>
      <c r="D70" s="74"/>
      <c r="E70" s="74"/>
      <c r="F70" s="74"/>
      <c r="G70" s="74"/>
      <c r="H70" s="74"/>
      <c r="I70" s="74"/>
      <c r="J70" s="74"/>
      <c r="K70" s="74"/>
      <c r="L70" s="74"/>
      <c r="M70" s="74"/>
      <c r="N70" s="74"/>
    </row>
    <row r="71" spans="1:14">
      <c r="A71" s="88"/>
      <c r="B71" s="89"/>
      <c r="C71" s="74" t="s">
        <v>132</v>
      </c>
      <c r="D71" s="74"/>
      <c r="E71" s="74"/>
      <c r="F71" s="74"/>
      <c r="G71" s="74"/>
      <c r="H71" s="74"/>
      <c r="I71" s="74"/>
      <c r="J71" s="74"/>
      <c r="K71" s="74"/>
      <c r="L71" s="74"/>
      <c r="M71" s="74"/>
      <c r="N71" s="74"/>
    </row>
    <row r="72" spans="1:14">
      <c r="A72" s="88"/>
      <c r="B72" s="89"/>
      <c r="C72" s="74"/>
      <c r="D72" s="74"/>
      <c r="E72" s="74"/>
      <c r="F72" s="74"/>
      <c r="G72" s="74"/>
      <c r="H72" s="74"/>
      <c r="I72" s="74"/>
      <c r="J72" s="74"/>
      <c r="K72" s="74"/>
      <c r="L72" s="74"/>
      <c r="M72" s="74"/>
      <c r="N72" s="74"/>
    </row>
    <row r="73" spans="1:14">
      <c r="A73" s="88"/>
      <c r="B73" s="89"/>
      <c r="C73" s="74"/>
      <c r="D73" s="74"/>
      <c r="E73" s="74"/>
      <c r="F73" s="74"/>
      <c r="G73" s="74"/>
      <c r="H73" s="74"/>
      <c r="I73" s="74"/>
      <c r="J73" s="74"/>
      <c r="K73" s="74"/>
      <c r="L73" s="74"/>
      <c r="M73" s="74"/>
      <c r="N73" s="74"/>
    </row>
    <row r="74" spans="1:14">
      <c r="A74" s="88"/>
      <c r="B74" s="89"/>
      <c r="C74" s="74"/>
      <c r="D74" s="74"/>
      <c r="E74" s="74"/>
      <c r="F74" s="74"/>
      <c r="G74" s="74"/>
      <c r="H74" s="74"/>
      <c r="I74" s="74"/>
      <c r="J74" s="74"/>
      <c r="K74" s="74"/>
      <c r="L74" s="74"/>
      <c r="M74" s="74"/>
      <c r="N74" s="74"/>
    </row>
    <row r="75" spans="1:14">
      <c r="A75" s="88"/>
      <c r="B75" s="89"/>
      <c r="C75" s="74"/>
      <c r="D75" s="74"/>
      <c r="E75" s="74"/>
      <c r="F75" s="74"/>
      <c r="G75" s="74"/>
      <c r="H75" s="74"/>
      <c r="I75" s="74"/>
      <c r="J75" s="74"/>
      <c r="K75" s="74"/>
      <c r="L75" s="74"/>
      <c r="M75" s="74"/>
      <c r="N75" s="74"/>
    </row>
    <row r="76" spans="1:14">
      <c r="A76" s="88"/>
      <c r="B76" s="89"/>
      <c r="C76" s="74"/>
      <c r="D76" s="74"/>
      <c r="E76" s="74"/>
      <c r="F76" s="74"/>
      <c r="G76" s="74"/>
      <c r="H76" s="74"/>
      <c r="I76" s="74"/>
      <c r="J76" s="74"/>
      <c r="K76" s="74"/>
      <c r="L76" s="74"/>
      <c r="M76" s="74"/>
      <c r="N76" s="74"/>
    </row>
    <row r="77" spans="1:14">
      <c r="A77" s="88"/>
      <c r="B77" s="89"/>
      <c r="C77" s="74"/>
      <c r="D77" s="74"/>
      <c r="E77" s="74"/>
      <c r="F77" s="74"/>
      <c r="G77" s="74"/>
      <c r="H77" s="74"/>
      <c r="I77" s="74"/>
      <c r="J77" s="74"/>
      <c r="K77" s="74"/>
      <c r="L77" s="74"/>
      <c r="M77" s="74"/>
      <c r="N77" s="74"/>
    </row>
    <row r="78" spans="1:14">
      <c r="A78" s="88"/>
      <c r="B78" s="89"/>
      <c r="C78" s="74"/>
      <c r="D78" s="74"/>
      <c r="E78" s="74"/>
      <c r="F78" s="74"/>
      <c r="G78" s="74"/>
      <c r="H78" s="74"/>
      <c r="I78" s="74"/>
      <c r="J78" s="74"/>
      <c r="K78" s="74"/>
      <c r="L78" s="74"/>
      <c r="M78" s="74"/>
      <c r="N78" s="74"/>
    </row>
    <row r="79" spans="1:14" ht="14" customHeight="1">
      <c r="A79" s="88"/>
      <c r="B79" s="88"/>
      <c r="C79" s="74"/>
      <c r="D79" s="74"/>
      <c r="E79" s="74"/>
      <c r="F79" s="74"/>
      <c r="G79" s="74"/>
      <c r="H79" s="74"/>
      <c r="I79" s="74"/>
      <c r="J79" s="74"/>
      <c r="K79" s="74"/>
      <c r="L79" s="77"/>
      <c r="M79" s="79"/>
      <c r="N79" s="74"/>
    </row>
    <row r="80" spans="1:14" ht="14" customHeight="1">
      <c r="A80" s="88"/>
      <c r="B80" s="88"/>
      <c r="C80" s="74"/>
      <c r="D80" s="74"/>
      <c r="E80" s="74"/>
      <c r="F80" s="74"/>
      <c r="G80" s="74"/>
      <c r="H80" s="74"/>
      <c r="I80" s="74"/>
      <c r="J80" s="74"/>
      <c r="K80" s="74"/>
      <c r="L80" s="77"/>
      <c r="M80" s="79"/>
      <c r="N80" s="74"/>
    </row>
    <row r="81" spans="1:14" ht="14" customHeight="1">
      <c r="A81" s="88"/>
      <c r="B81" s="88"/>
      <c r="C81" s="74"/>
      <c r="D81" s="74"/>
      <c r="E81" s="74"/>
      <c r="F81" s="74"/>
      <c r="G81" s="74"/>
      <c r="H81" s="74"/>
      <c r="I81" s="74"/>
      <c r="J81" s="74"/>
      <c r="K81" s="74"/>
      <c r="L81" s="77"/>
      <c r="M81" s="79"/>
      <c r="N81" s="74"/>
    </row>
    <row r="82" spans="1:14" ht="13" customHeight="1">
      <c r="A82" s="88"/>
      <c r="B82" s="88"/>
      <c r="C82" s="311" t="s">
        <v>130</v>
      </c>
      <c r="D82" s="311"/>
      <c r="E82" s="311"/>
      <c r="F82" s="311"/>
      <c r="G82" s="311"/>
      <c r="H82" s="311"/>
      <c r="I82" s="311"/>
      <c r="J82" s="311"/>
      <c r="K82" s="311"/>
      <c r="L82" s="311"/>
      <c r="M82" s="79"/>
      <c r="N82" s="74"/>
    </row>
    <row r="83" spans="1:14">
      <c r="A83" s="88"/>
      <c r="B83" s="88"/>
      <c r="C83" s="311"/>
      <c r="D83" s="311"/>
      <c r="E83" s="311"/>
      <c r="F83" s="311"/>
      <c r="G83" s="311"/>
      <c r="H83" s="311"/>
      <c r="I83" s="311"/>
      <c r="J83" s="311"/>
      <c r="K83" s="311"/>
      <c r="L83" s="311"/>
      <c r="M83" s="79"/>
      <c r="N83" s="74"/>
    </row>
    <row r="84" spans="1:14">
      <c r="A84" s="88"/>
      <c r="B84" s="88"/>
      <c r="C84" s="78"/>
      <c r="D84" s="77"/>
      <c r="E84" s="77"/>
      <c r="F84" s="77"/>
      <c r="G84" s="77"/>
      <c r="H84" s="77"/>
      <c r="I84" s="77"/>
      <c r="J84" s="77"/>
      <c r="K84" s="77"/>
      <c r="L84" s="74"/>
      <c r="M84" s="74"/>
      <c r="N84" s="74"/>
    </row>
    <row r="85" spans="1:14">
      <c r="A85" s="88"/>
      <c r="B85" s="88"/>
      <c r="C85" s="74"/>
      <c r="D85" s="74"/>
      <c r="E85" s="74"/>
      <c r="F85" s="74"/>
      <c r="G85" s="74"/>
      <c r="H85" s="74"/>
      <c r="I85" s="74"/>
      <c r="J85" s="74"/>
      <c r="K85" s="74"/>
      <c r="L85" s="74"/>
      <c r="M85" s="74"/>
      <c r="N85" s="74"/>
    </row>
    <row r="86" spans="1:14">
      <c r="A86" s="88"/>
      <c r="B86" s="88"/>
      <c r="C86" s="74"/>
      <c r="D86" s="74"/>
      <c r="E86" s="74"/>
      <c r="F86" s="74"/>
      <c r="G86" s="74"/>
      <c r="H86" s="74"/>
      <c r="I86" s="74"/>
      <c r="J86" s="74"/>
      <c r="K86" s="74"/>
      <c r="L86" s="74"/>
      <c r="M86" s="74"/>
      <c r="N86" s="74"/>
    </row>
    <row r="87" spans="1:14">
      <c r="A87" s="88"/>
      <c r="B87" s="88"/>
      <c r="C87" s="74"/>
      <c r="D87" s="74"/>
      <c r="E87" s="74"/>
      <c r="F87" s="74"/>
      <c r="G87" s="74"/>
      <c r="H87" s="74"/>
      <c r="I87" s="74"/>
      <c r="J87" s="74"/>
      <c r="K87" s="74"/>
      <c r="L87" s="74"/>
      <c r="M87" s="74"/>
      <c r="N87" s="74"/>
    </row>
    <row r="88" spans="1:14">
      <c r="A88" s="88"/>
      <c r="B88" s="89"/>
      <c r="C88" s="74"/>
      <c r="D88" s="74"/>
      <c r="E88" s="74"/>
      <c r="F88" s="74"/>
      <c r="G88" s="74"/>
      <c r="H88" s="74"/>
      <c r="I88" s="74"/>
      <c r="J88" s="74"/>
      <c r="K88" s="74"/>
      <c r="L88" s="74"/>
      <c r="M88" s="74"/>
      <c r="N88" s="74"/>
    </row>
    <row r="89" spans="1:14">
      <c r="A89" s="88"/>
      <c r="B89" s="89"/>
      <c r="C89" s="74"/>
      <c r="D89" s="74"/>
      <c r="E89" s="74"/>
      <c r="F89" s="74"/>
      <c r="G89" s="74"/>
      <c r="H89" s="74"/>
      <c r="I89" s="74"/>
      <c r="J89" s="74"/>
      <c r="K89" s="74"/>
      <c r="L89" s="74"/>
      <c r="M89" s="74"/>
      <c r="N89" s="74"/>
    </row>
    <row r="90" spans="1:14">
      <c r="A90" s="88"/>
      <c r="B90" s="89"/>
      <c r="C90" s="74"/>
      <c r="D90" s="74"/>
      <c r="E90" s="74"/>
      <c r="F90" s="74"/>
      <c r="G90" s="74"/>
      <c r="H90" s="74"/>
      <c r="I90" s="74"/>
      <c r="J90" s="74"/>
      <c r="K90" s="74"/>
      <c r="L90" s="74"/>
      <c r="M90" s="74"/>
      <c r="N90" s="74"/>
    </row>
    <row r="91" spans="1:14">
      <c r="A91" s="88"/>
      <c r="B91" s="89"/>
      <c r="C91" s="74"/>
      <c r="D91" s="74"/>
      <c r="E91" s="74"/>
      <c r="F91" s="74"/>
      <c r="G91" s="74"/>
      <c r="H91" s="74"/>
      <c r="I91" s="74"/>
      <c r="J91" s="74"/>
      <c r="K91" s="74"/>
      <c r="L91" s="74"/>
      <c r="M91" s="74"/>
      <c r="N91" s="74"/>
    </row>
    <row r="92" spans="1:14">
      <c r="A92" s="88"/>
      <c r="B92" s="89"/>
      <c r="C92" s="74"/>
      <c r="D92" s="74"/>
      <c r="E92" s="74"/>
      <c r="F92" s="74"/>
      <c r="G92" s="74"/>
      <c r="H92" s="74"/>
      <c r="I92" s="74"/>
      <c r="J92" s="74"/>
      <c r="K92" s="74"/>
      <c r="L92" s="74"/>
      <c r="M92" s="74"/>
      <c r="N92" s="74"/>
    </row>
    <row r="93" spans="1:14">
      <c r="A93" s="88"/>
      <c r="B93" s="89"/>
      <c r="C93" s="74"/>
      <c r="D93" s="74"/>
      <c r="E93" s="74"/>
      <c r="F93" s="74"/>
      <c r="G93" s="74"/>
      <c r="H93" s="74"/>
      <c r="I93" s="74"/>
      <c r="J93" s="74"/>
      <c r="K93" s="74"/>
      <c r="L93" s="74"/>
      <c r="M93" s="74"/>
      <c r="N93" s="74"/>
    </row>
    <row r="94" spans="1:14">
      <c r="A94" s="88"/>
      <c r="B94" s="89"/>
      <c r="C94" s="74"/>
      <c r="D94" s="74"/>
      <c r="E94" s="74"/>
      <c r="F94" s="74"/>
      <c r="G94" s="74"/>
      <c r="H94" s="74"/>
      <c r="I94" s="74"/>
      <c r="J94" s="74"/>
      <c r="K94" s="74"/>
      <c r="L94" s="74"/>
      <c r="M94" s="74"/>
      <c r="N94" s="74"/>
    </row>
    <row r="95" spans="1:14">
      <c r="A95" s="88"/>
      <c r="B95" s="88"/>
      <c r="C95" s="74"/>
      <c r="D95" s="74"/>
      <c r="E95" s="74"/>
      <c r="F95" s="74"/>
      <c r="G95" s="74"/>
      <c r="H95" s="74"/>
      <c r="I95" s="74"/>
      <c r="J95" s="74"/>
      <c r="K95" s="74"/>
      <c r="L95" s="74"/>
      <c r="M95" s="74"/>
      <c r="N95" s="74"/>
    </row>
    <row r="96" spans="1:14">
      <c r="A96" s="88"/>
      <c r="B96" s="88"/>
      <c r="C96" s="74"/>
      <c r="D96" s="74"/>
      <c r="E96" s="74"/>
      <c r="F96" s="74"/>
      <c r="G96" s="74"/>
      <c r="H96" s="74"/>
      <c r="I96" s="74"/>
      <c r="J96" s="74"/>
      <c r="K96" s="74"/>
      <c r="L96" s="74"/>
      <c r="M96" s="74"/>
      <c r="N96" s="74"/>
    </row>
    <row r="97" spans="1:14" s="93" customFormat="1">
      <c r="A97" s="92"/>
      <c r="B97" s="92"/>
      <c r="C97" s="311" t="s">
        <v>136</v>
      </c>
      <c r="D97" s="311"/>
      <c r="E97" s="311"/>
      <c r="F97" s="311"/>
      <c r="G97" s="311"/>
      <c r="H97" s="311"/>
      <c r="I97" s="311"/>
      <c r="J97" s="311"/>
      <c r="K97" s="311"/>
      <c r="L97" s="311"/>
      <c r="M97" s="79"/>
      <c r="N97" s="74"/>
    </row>
    <row r="98" spans="1:14" s="93" customFormat="1">
      <c r="A98" s="92"/>
      <c r="B98" s="92"/>
      <c r="C98" s="311"/>
      <c r="D98" s="311"/>
      <c r="E98" s="311"/>
      <c r="F98" s="311"/>
      <c r="G98" s="311"/>
      <c r="H98" s="311"/>
      <c r="I98" s="311"/>
      <c r="J98" s="311"/>
      <c r="K98" s="311"/>
      <c r="L98" s="311"/>
      <c r="M98" s="79"/>
      <c r="N98" s="74"/>
    </row>
    <row r="99" spans="1:14">
      <c r="A99" s="88"/>
      <c r="B99" s="88"/>
      <c r="C99" s="74"/>
      <c r="D99" s="74"/>
      <c r="E99" s="74"/>
      <c r="F99" s="74"/>
      <c r="G99" s="74"/>
      <c r="H99" s="74"/>
      <c r="I99" s="74"/>
      <c r="J99" s="74"/>
      <c r="K99" s="74"/>
      <c r="L99" s="74"/>
      <c r="M99" s="74"/>
      <c r="N99" s="74"/>
    </row>
    <row r="100" spans="1:14">
      <c r="A100" s="88"/>
      <c r="B100" s="88"/>
      <c r="C100" s="74"/>
      <c r="D100" s="74"/>
      <c r="E100" s="74"/>
      <c r="F100" s="74"/>
      <c r="G100" s="74"/>
      <c r="H100" s="74"/>
      <c r="I100" s="74"/>
      <c r="J100" s="74"/>
      <c r="K100" s="74"/>
      <c r="L100" s="74"/>
      <c r="M100" s="74"/>
      <c r="N100" s="74"/>
    </row>
    <row r="101" spans="1:14">
      <c r="A101" s="88"/>
      <c r="B101" s="88"/>
      <c r="C101" s="74"/>
      <c r="D101" s="74"/>
      <c r="E101" s="74"/>
      <c r="F101" s="74"/>
      <c r="G101" s="74"/>
      <c r="H101" s="74"/>
      <c r="I101" s="74"/>
      <c r="J101" s="74"/>
      <c r="K101" s="74"/>
      <c r="L101" s="74"/>
      <c r="M101" s="74"/>
      <c r="N101" s="74"/>
    </row>
    <row r="102" spans="1:14">
      <c r="A102" s="88"/>
      <c r="B102" s="89"/>
      <c r="C102" s="74"/>
      <c r="D102" s="74"/>
      <c r="E102" s="74"/>
      <c r="F102" s="74"/>
      <c r="G102" s="74"/>
      <c r="H102" s="74"/>
      <c r="I102" s="74"/>
      <c r="J102" s="74"/>
      <c r="K102" s="74"/>
      <c r="L102" s="74"/>
      <c r="M102" s="74"/>
      <c r="N102" s="74"/>
    </row>
    <row r="103" spans="1:14">
      <c r="A103" s="88"/>
      <c r="B103" s="89"/>
      <c r="C103" s="74"/>
      <c r="D103" s="74"/>
      <c r="E103" s="74"/>
      <c r="F103" s="74"/>
      <c r="G103" s="74"/>
      <c r="H103" s="74"/>
      <c r="I103" s="74"/>
      <c r="J103" s="74"/>
      <c r="K103" s="74"/>
      <c r="L103" s="74"/>
      <c r="M103" s="74"/>
      <c r="N103" s="74"/>
    </row>
    <row r="104" spans="1:14">
      <c r="A104" s="88"/>
      <c r="B104" s="89"/>
      <c r="C104" s="74"/>
      <c r="D104" s="74"/>
      <c r="E104" s="74"/>
      <c r="F104" s="74"/>
      <c r="G104" s="74"/>
      <c r="H104" s="74"/>
      <c r="I104" s="74"/>
      <c r="J104" s="74"/>
      <c r="K104" s="74"/>
      <c r="L104" s="74"/>
      <c r="M104" s="74"/>
      <c r="N104" s="74"/>
    </row>
    <row r="105" spans="1:14">
      <c r="A105" s="88"/>
      <c r="B105" s="89"/>
      <c r="C105" s="74"/>
      <c r="D105" s="74"/>
      <c r="E105" s="74"/>
      <c r="F105" s="74"/>
      <c r="G105" s="74"/>
      <c r="H105" s="74"/>
      <c r="I105" s="74"/>
      <c r="J105" s="74"/>
      <c r="K105" s="74"/>
      <c r="L105" s="74"/>
      <c r="M105" s="74"/>
      <c r="N105" s="74"/>
    </row>
    <row r="106" spans="1:14">
      <c r="A106" s="88"/>
      <c r="B106" s="89"/>
      <c r="C106" s="74"/>
      <c r="D106" s="74"/>
      <c r="E106" s="74"/>
      <c r="F106" s="74"/>
      <c r="G106" s="74"/>
      <c r="H106" s="74"/>
      <c r="I106" s="74"/>
      <c r="J106" s="74"/>
      <c r="K106" s="74"/>
      <c r="L106" s="74"/>
      <c r="M106" s="74"/>
      <c r="N106" s="74"/>
    </row>
    <row r="107" spans="1:14">
      <c r="A107" s="88"/>
      <c r="B107" s="89"/>
      <c r="C107" s="74"/>
      <c r="D107" s="74"/>
      <c r="E107" s="74"/>
      <c r="F107" s="74"/>
      <c r="G107" s="74"/>
      <c r="H107" s="74"/>
      <c r="I107" s="74"/>
      <c r="J107" s="74"/>
      <c r="K107" s="74"/>
      <c r="L107" s="74"/>
      <c r="M107" s="74"/>
      <c r="N107" s="74"/>
    </row>
    <row r="108" spans="1:14">
      <c r="A108" s="88"/>
      <c r="B108" s="89"/>
      <c r="C108" s="74"/>
      <c r="D108" s="74"/>
      <c r="E108" s="74"/>
      <c r="F108" s="74"/>
      <c r="G108" s="74"/>
      <c r="H108" s="74"/>
      <c r="I108" s="74"/>
      <c r="J108" s="74"/>
      <c r="K108" s="74"/>
      <c r="L108" s="74"/>
      <c r="M108" s="74"/>
      <c r="N108" s="74"/>
    </row>
    <row r="109" spans="1:14">
      <c r="A109" s="88"/>
      <c r="B109" s="89"/>
      <c r="C109" s="74"/>
      <c r="D109" s="74"/>
      <c r="E109" s="74"/>
      <c r="F109" s="74"/>
      <c r="G109" s="74"/>
      <c r="H109" s="74"/>
      <c r="I109" s="74"/>
      <c r="J109" s="74"/>
      <c r="K109" s="74"/>
      <c r="L109" s="74"/>
      <c r="M109" s="74"/>
      <c r="N109" s="74"/>
    </row>
    <row r="110" spans="1:14">
      <c r="A110" s="88"/>
      <c r="B110" s="89"/>
      <c r="C110" s="74"/>
      <c r="D110" s="74"/>
      <c r="E110" s="74"/>
      <c r="F110" s="74"/>
      <c r="G110" s="74"/>
      <c r="H110" s="74"/>
      <c r="I110" s="74"/>
      <c r="J110" s="74"/>
      <c r="K110" s="74"/>
      <c r="L110" s="74"/>
      <c r="M110" s="74"/>
      <c r="N110" s="74"/>
    </row>
    <row r="111" spans="1:14">
      <c r="A111" s="88"/>
      <c r="B111" s="89"/>
      <c r="C111" s="74"/>
      <c r="D111" s="74"/>
      <c r="E111" s="74"/>
      <c r="F111" s="74"/>
      <c r="G111" s="74"/>
      <c r="H111" s="74"/>
      <c r="I111" s="74"/>
      <c r="J111" s="74"/>
      <c r="K111" s="74"/>
      <c r="L111" s="74"/>
      <c r="M111" s="74"/>
      <c r="N111" s="74"/>
    </row>
    <row r="112" spans="1:14">
      <c r="A112" s="88"/>
      <c r="B112" s="89"/>
      <c r="C112" s="74"/>
      <c r="D112" s="74"/>
      <c r="E112" s="74"/>
      <c r="F112" s="74"/>
      <c r="G112" s="74"/>
      <c r="H112" s="74"/>
      <c r="I112" s="74"/>
      <c r="J112" s="74"/>
      <c r="K112" s="74"/>
      <c r="L112" s="74"/>
      <c r="M112" s="74"/>
      <c r="N112" s="74"/>
    </row>
    <row r="113" spans="1:14">
      <c r="A113" s="88"/>
      <c r="B113" s="89"/>
      <c r="C113" s="74"/>
      <c r="D113" s="74"/>
      <c r="E113" s="74"/>
      <c r="F113" s="74"/>
      <c r="G113" s="74"/>
      <c r="H113" s="74"/>
      <c r="I113" s="74"/>
      <c r="J113" s="74"/>
      <c r="K113" s="74"/>
      <c r="L113" s="74"/>
      <c r="M113" s="74"/>
      <c r="N113" s="74"/>
    </row>
    <row r="114" spans="1:14">
      <c r="A114" s="88"/>
      <c r="B114" s="89"/>
      <c r="C114" s="74"/>
      <c r="D114" s="74"/>
      <c r="E114" s="74"/>
      <c r="F114" s="74"/>
      <c r="G114" s="74"/>
      <c r="H114" s="74"/>
      <c r="I114" s="74"/>
      <c r="J114" s="74"/>
      <c r="K114" s="74"/>
      <c r="L114" s="74"/>
      <c r="M114" s="74"/>
      <c r="N114" s="74"/>
    </row>
    <row r="115" spans="1:14">
      <c r="A115" s="88"/>
      <c r="B115" s="89"/>
      <c r="C115" s="74"/>
      <c r="D115" s="74"/>
      <c r="E115" s="74"/>
      <c r="F115" s="74"/>
      <c r="G115" s="74"/>
      <c r="H115" s="74"/>
      <c r="I115" s="74"/>
      <c r="J115" s="74"/>
      <c r="K115" s="74"/>
      <c r="L115" s="74"/>
      <c r="M115" s="74"/>
      <c r="N115" s="74"/>
    </row>
    <row r="116" spans="1:14">
      <c r="A116" s="88"/>
      <c r="B116" s="89"/>
      <c r="C116" s="74"/>
      <c r="D116" s="74"/>
      <c r="E116" s="74"/>
      <c r="F116" s="74"/>
      <c r="G116" s="74"/>
      <c r="H116" s="74"/>
      <c r="I116" s="74"/>
      <c r="J116" s="74"/>
      <c r="K116" s="74"/>
      <c r="L116" s="74"/>
      <c r="M116" s="74"/>
      <c r="N116" s="74"/>
    </row>
    <row r="117" spans="1:14">
      <c r="A117" s="88"/>
      <c r="B117" s="89"/>
      <c r="C117" s="74"/>
      <c r="D117" s="74"/>
      <c r="E117" s="74"/>
      <c r="F117" s="74"/>
      <c r="G117" s="74"/>
      <c r="H117" s="74"/>
      <c r="I117" s="74"/>
      <c r="J117" s="74"/>
      <c r="K117" s="74"/>
      <c r="L117" s="74"/>
      <c r="M117" s="74"/>
      <c r="N117" s="74"/>
    </row>
    <row r="118" spans="1:14">
      <c r="A118" s="88"/>
      <c r="B118" s="89"/>
      <c r="C118" s="74"/>
      <c r="D118" s="74"/>
      <c r="E118" s="74"/>
      <c r="F118" s="74"/>
      <c r="G118" s="74"/>
      <c r="H118" s="74"/>
      <c r="I118" s="74"/>
      <c r="J118" s="74"/>
      <c r="K118" s="74"/>
      <c r="L118" s="74"/>
      <c r="M118" s="74"/>
      <c r="N118" s="74"/>
    </row>
    <row r="119" spans="1:14">
      <c r="A119" s="88"/>
      <c r="B119" s="89"/>
      <c r="C119" s="74"/>
      <c r="D119" s="74"/>
      <c r="E119" s="74"/>
      <c r="F119" s="74"/>
      <c r="G119" s="74"/>
      <c r="H119" s="74"/>
      <c r="I119" s="74"/>
      <c r="J119" s="74"/>
      <c r="K119" s="74"/>
      <c r="L119" s="74"/>
      <c r="M119" s="74"/>
      <c r="N119" s="74"/>
    </row>
    <row r="120" spans="1:14">
      <c r="A120" s="88"/>
      <c r="B120" s="89"/>
      <c r="C120" s="74"/>
      <c r="D120" s="74"/>
      <c r="E120" s="74"/>
      <c r="F120" s="74"/>
      <c r="G120" s="74"/>
      <c r="H120" s="74"/>
      <c r="I120" s="74"/>
      <c r="J120" s="74"/>
      <c r="K120" s="74"/>
      <c r="L120" s="74"/>
      <c r="M120" s="74"/>
      <c r="N120" s="74"/>
    </row>
    <row r="121" spans="1:14">
      <c r="A121" s="88"/>
      <c r="B121" s="89"/>
      <c r="C121" s="74"/>
      <c r="D121" s="74"/>
      <c r="E121" s="74"/>
      <c r="F121" s="74"/>
      <c r="G121" s="74"/>
      <c r="H121" s="74"/>
      <c r="I121" s="74"/>
      <c r="J121" s="74"/>
      <c r="K121" s="74"/>
      <c r="L121" s="74"/>
      <c r="M121" s="74"/>
      <c r="N121" s="74"/>
    </row>
    <row r="122" spans="1:14">
      <c r="A122" s="88"/>
      <c r="B122" s="89"/>
      <c r="C122" s="74"/>
      <c r="D122" s="74"/>
      <c r="E122" s="74"/>
      <c r="F122" s="74"/>
      <c r="G122" s="74"/>
      <c r="H122" s="74"/>
      <c r="I122" s="74"/>
      <c r="J122" s="74"/>
      <c r="K122" s="74"/>
      <c r="L122" s="74"/>
      <c r="M122" s="74"/>
      <c r="N122" s="74"/>
    </row>
    <row r="123" spans="1:14">
      <c r="A123" s="88"/>
      <c r="B123" s="89"/>
      <c r="C123" s="74"/>
      <c r="D123" s="74"/>
      <c r="E123" s="74"/>
      <c r="F123" s="74"/>
      <c r="G123" s="74"/>
      <c r="H123" s="74"/>
      <c r="I123" s="74"/>
      <c r="J123" s="74"/>
      <c r="K123" s="74"/>
      <c r="L123" s="74"/>
      <c r="M123" s="74"/>
      <c r="N123" s="74"/>
    </row>
    <row r="124" spans="1:14">
      <c r="A124" s="88"/>
      <c r="B124" s="89"/>
      <c r="C124" s="74"/>
      <c r="D124" s="74"/>
      <c r="E124" s="74"/>
      <c r="F124" s="74"/>
      <c r="G124" s="74"/>
      <c r="H124" s="74"/>
      <c r="I124" s="74"/>
      <c r="J124" s="74"/>
      <c r="K124" s="74"/>
      <c r="L124" s="74"/>
      <c r="M124" s="74"/>
      <c r="N124" s="74"/>
    </row>
    <row r="125" spans="1:14">
      <c r="A125" s="88"/>
      <c r="B125" s="89"/>
      <c r="C125" s="74"/>
      <c r="D125" s="74"/>
      <c r="E125" s="74"/>
      <c r="F125" s="74"/>
      <c r="G125" s="74"/>
      <c r="H125" s="74"/>
      <c r="I125" s="74"/>
      <c r="J125" s="74"/>
      <c r="K125" s="74"/>
      <c r="L125" s="74"/>
      <c r="M125" s="74"/>
      <c r="N125" s="74"/>
    </row>
    <row r="126" spans="1:14">
      <c r="A126" s="88"/>
      <c r="B126" s="89"/>
      <c r="C126" s="74"/>
      <c r="D126" s="74"/>
      <c r="E126" s="74"/>
      <c r="F126" s="74"/>
      <c r="G126" s="74"/>
      <c r="H126" s="74"/>
      <c r="I126" s="74"/>
      <c r="J126" s="74"/>
      <c r="K126" s="74"/>
      <c r="L126" s="74"/>
      <c r="M126" s="74"/>
      <c r="N126" s="74"/>
    </row>
  </sheetData>
  <mergeCells count="6">
    <mergeCell ref="C97:L98"/>
    <mergeCell ref="C42:L43"/>
    <mergeCell ref="C59:L60"/>
    <mergeCell ref="C82:L83"/>
    <mergeCell ref="C3:K4"/>
    <mergeCell ref="C25:K26"/>
  </mergeCells>
  <phoneticPr fontId="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47DDD-5596-424F-9824-7EA388BD7018}">
  <sheetPr codeName="Sheet1"/>
  <dimension ref="A1:O38"/>
  <sheetViews>
    <sheetView topLeftCell="B1" workbookViewId="0">
      <pane ySplit="1" topLeftCell="A2" activePane="bottomLeft" state="frozen"/>
      <selection pane="bottomLeft" activeCell="F21" sqref="F21:G21"/>
    </sheetView>
  </sheetViews>
  <sheetFormatPr defaultRowHeight="14"/>
  <cols>
    <col min="1" max="1" width="8.6640625" style="68"/>
    <col min="2" max="2" width="16.9140625" style="57" customWidth="1"/>
    <col min="3" max="3" width="13.75" style="57" customWidth="1"/>
    <col min="4" max="4" width="8.6640625" style="57"/>
    <col min="5" max="6" width="11.5" style="57" customWidth="1"/>
    <col min="7" max="9" width="8.6640625" style="57"/>
    <col min="10" max="10" width="14.83203125" style="68" customWidth="1"/>
    <col min="11" max="11" width="13.5" style="68" customWidth="1"/>
    <col min="12" max="15" width="8.6640625" style="68"/>
  </cols>
  <sheetData>
    <row r="1" spans="1:14" ht="36.5" customHeight="1">
      <c r="A1" s="329" t="s">
        <v>96</v>
      </c>
      <c r="B1" s="329"/>
      <c r="C1" s="329"/>
      <c r="D1" s="329"/>
      <c r="E1" s="329"/>
      <c r="F1" s="329"/>
      <c r="G1" s="329"/>
      <c r="H1" s="329"/>
      <c r="I1" s="329"/>
    </row>
    <row r="2" spans="1:14">
      <c r="B2" s="57" t="s">
        <v>272</v>
      </c>
      <c r="C2" s="67" t="s">
        <v>281</v>
      </c>
      <c r="D2" s="84"/>
    </row>
    <row r="3" spans="1:14">
      <c r="B3" s="85" t="s">
        <v>273</v>
      </c>
      <c r="C3" s="67" t="s">
        <v>277</v>
      </c>
      <c r="D3" s="84"/>
    </row>
    <row r="4" spans="1:14">
      <c r="B4" s="57" t="s">
        <v>274</v>
      </c>
      <c r="C4" s="67" t="s">
        <v>279</v>
      </c>
      <c r="D4" s="84"/>
    </row>
    <row r="5" spans="1:14">
      <c r="B5" s="57" t="s">
        <v>275</v>
      </c>
      <c r="C5" s="67" t="s">
        <v>283</v>
      </c>
      <c r="D5" s="84"/>
    </row>
    <row r="6" spans="1:14">
      <c r="B6" s="57" t="s">
        <v>181</v>
      </c>
      <c r="C6" s="87" t="s">
        <v>183</v>
      </c>
      <c r="D6" s="94" t="str">
        <f>IF(IFERROR(INDEX(使用说明!B:B,MATCH(操作平台!C6,使用说明!B:B,0)),"X")="X","修改模板池","")</f>
        <v/>
      </c>
    </row>
    <row r="7" spans="1:14">
      <c r="C7" s="82"/>
    </row>
    <row r="8" spans="1:14">
      <c r="B8" s="330" t="s">
        <v>133</v>
      </c>
      <c r="C8" s="82" t="str">
        <f>HYPERLINK("#使用说明!B2","编辑模板池")</f>
        <v>编辑模板池</v>
      </c>
    </row>
    <row r="9" spans="1:14">
      <c r="B9" s="330"/>
      <c r="C9" s="82" t="str">
        <f>HYPERLINK("#基本信息!A3","编辑基本信息")</f>
        <v>编辑基本信息</v>
      </c>
    </row>
    <row r="10" spans="1:14">
      <c r="B10" s="330"/>
      <c r="C10" s="82" t="str">
        <f>HYPERLINK("#询证函模板!I1","编辑函证模板")</f>
        <v>编辑函证模板</v>
      </c>
    </row>
    <row r="11" spans="1:14">
      <c r="B11" s="330"/>
      <c r="C11" s="82" t="str">
        <f>HYPERLINK("#询证函模板!I1","编辑数据模板")</f>
        <v>编辑数据模板</v>
      </c>
    </row>
    <row r="12" spans="1:14">
      <c r="C12" s="70"/>
    </row>
    <row r="14" spans="1:14" ht="42">
      <c r="A14" s="71" t="s">
        <v>93</v>
      </c>
      <c r="B14" s="57" t="s">
        <v>94</v>
      </c>
      <c r="C14" s="57" t="s">
        <v>120</v>
      </c>
      <c r="D14" s="57" t="s">
        <v>54</v>
      </c>
      <c r="E14" s="318" t="s">
        <v>110</v>
      </c>
      <c r="F14" s="318"/>
      <c r="G14" s="318"/>
      <c r="H14" s="318"/>
      <c r="I14" s="318"/>
      <c r="J14" s="318"/>
      <c r="K14" s="318"/>
      <c r="L14" s="318"/>
      <c r="M14" s="318"/>
      <c r="N14" s="318"/>
    </row>
    <row r="15" spans="1:14">
      <c r="A15" s="69">
        <f>IF(B15&lt;&gt;"",ROW(B15)-14,"")</f>
        <v>1</v>
      </c>
      <c r="B15" s="193" t="s">
        <v>263</v>
      </c>
      <c r="C15" s="194">
        <v>18</v>
      </c>
      <c r="D15" s="195" t="s">
        <v>297</v>
      </c>
      <c r="E15" s="184" t="s">
        <v>137</v>
      </c>
      <c r="F15" s="322" t="s">
        <v>138</v>
      </c>
      <c r="G15" s="322"/>
      <c r="H15" s="182" t="s">
        <v>139</v>
      </c>
      <c r="I15" s="182" t="s">
        <v>140</v>
      </c>
      <c r="J15" s="182" t="s">
        <v>196</v>
      </c>
      <c r="K15" s="182" t="s">
        <v>141</v>
      </c>
      <c r="L15" s="182" t="s">
        <v>197</v>
      </c>
      <c r="M15" s="183" t="s">
        <v>198</v>
      </c>
      <c r="N15" s="185" t="s">
        <v>142</v>
      </c>
    </row>
    <row r="16" spans="1:14">
      <c r="A16" s="69">
        <f t="shared" ref="A16:A38" si="0">IF(B16&lt;&gt;"",ROW(B16)-14,"")</f>
        <v>2</v>
      </c>
      <c r="B16" s="193" t="s">
        <v>264</v>
      </c>
      <c r="C16" s="194">
        <v>24</v>
      </c>
      <c r="D16" s="195" t="s">
        <v>297</v>
      </c>
      <c r="E16" s="184" t="s">
        <v>257</v>
      </c>
      <c r="F16" s="182" t="s">
        <v>138</v>
      </c>
      <c r="G16" s="182" t="s">
        <v>139</v>
      </c>
      <c r="H16" s="322" t="s">
        <v>200</v>
      </c>
      <c r="I16" s="322"/>
      <c r="J16" s="182" t="s">
        <v>144</v>
      </c>
      <c r="K16" s="182" t="s">
        <v>145</v>
      </c>
      <c r="L16" s="182" t="s">
        <v>201</v>
      </c>
      <c r="M16" s="182" t="s">
        <v>258</v>
      </c>
      <c r="N16" s="185" t="s">
        <v>142</v>
      </c>
    </row>
    <row r="17" spans="1:14" ht="15.5" customHeight="1">
      <c r="A17" s="69">
        <f t="shared" si="0"/>
        <v>3</v>
      </c>
      <c r="B17" s="193" t="s">
        <v>265</v>
      </c>
      <c r="C17" s="194">
        <v>29</v>
      </c>
      <c r="D17" s="195" t="s">
        <v>297</v>
      </c>
      <c r="E17" s="326" t="s">
        <v>137</v>
      </c>
      <c r="F17" s="327"/>
      <c r="G17" s="327"/>
      <c r="H17" s="327"/>
      <c r="I17" s="324" t="s">
        <v>138</v>
      </c>
      <c r="J17" s="324"/>
      <c r="K17" s="324"/>
      <c r="L17" s="141" t="s">
        <v>139</v>
      </c>
      <c r="M17" s="324" t="s">
        <v>146</v>
      </c>
      <c r="N17" s="325"/>
    </row>
    <row r="18" spans="1:14">
      <c r="A18" s="69">
        <f t="shared" si="0"/>
        <v>4</v>
      </c>
      <c r="B18" s="193" t="s">
        <v>269</v>
      </c>
      <c r="C18" s="194">
        <v>35</v>
      </c>
      <c r="D18" s="195" t="s">
        <v>297</v>
      </c>
      <c r="E18" s="326" t="s">
        <v>137</v>
      </c>
      <c r="F18" s="327"/>
      <c r="G18" s="327" t="s">
        <v>138</v>
      </c>
      <c r="H18" s="327"/>
      <c r="I18" s="169" t="s">
        <v>204</v>
      </c>
      <c r="J18" s="169" t="s">
        <v>139</v>
      </c>
      <c r="K18" s="169" t="s">
        <v>140</v>
      </c>
      <c r="L18" s="169" t="s">
        <v>141</v>
      </c>
      <c r="M18" s="169" t="s">
        <v>205</v>
      </c>
      <c r="N18" s="186" t="s">
        <v>142</v>
      </c>
    </row>
    <row r="19" spans="1:14">
      <c r="A19" s="69">
        <f t="shared" si="0"/>
        <v>5</v>
      </c>
      <c r="B19" s="193" t="s">
        <v>270</v>
      </c>
      <c r="C19" s="194">
        <v>42</v>
      </c>
      <c r="D19" s="195" t="s">
        <v>297</v>
      </c>
      <c r="E19" s="328" t="s">
        <v>137</v>
      </c>
      <c r="F19" s="322"/>
      <c r="G19" s="322" t="s">
        <v>138</v>
      </c>
      <c r="H19" s="322"/>
      <c r="I19" s="182" t="s">
        <v>207</v>
      </c>
      <c r="J19" s="182" t="s">
        <v>139</v>
      </c>
      <c r="K19" s="182" t="s">
        <v>140</v>
      </c>
      <c r="L19" s="182" t="s">
        <v>141</v>
      </c>
      <c r="M19" s="169" t="s">
        <v>205</v>
      </c>
      <c r="N19" s="185" t="s">
        <v>142</v>
      </c>
    </row>
    <row r="20" spans="1:14">
      <c r="A20" s="69">
        <f t="shared" si="0"/>
        <v>6</v>
      </c>
      <c r="B20" s="193" t="s">
        <v>286</v>
      </c>
      <c r="C20" s="194">
        <v>50</v>
      </c>
      <c r="D20" s="195" t="s">
        <v>297</v>
      </c>
      <c r="E20" s="184" t="s">
        <v>148</v>
      </c>
      <c r="F20" s="322" t="s">
        <v>149</v>
      </c>
      <c r="G20" s="322"/>
      <c r="H20" s="322" t="s">
        <v>209</v>
      </c>
      <c r="I20" s="322"/>
      <c r="J20" s="182" t="s">
        <v>210</v>
      </c>
      <c r="K20" s="322" t="s">
        <v>211</v>
      </c>
      <c r="L20" s="322"/>
      <c r="M20" s="322" t="s">
        <v>142</v>
      </c>
      <c r="N20" s="323"/>
    </row>
    <row r="21" spans="1:14">
      <c r="A21" s="69">
        <f t="shared" si="0"/>
        <v>7</v>
      </c>
      <c r="B21" s="193" t="s">
        <v>287</v>
      </c>
      <c r="C21" s="81">
        <v>57</v>
      </c>
      <c r="D21" s="195" t="s">
        <v>297</v>
      </c>
      <c r="E21" s="148" t="s">
        <v>148</v>
      </c>
      <c r="F21" s="320" t="s">
        <v>149</v>
      </c>
      <c r="G21" s="320"/>
      <c r="H21" s="320" t="s">
        <v>213</v>
      </c>
      <c r="I21" s="320"/>
      <c r="J21" s="182" t="s">
        <v>210</v>
      </c>
      <c r="K21" s="320" t="s">
        <v>214</v>
      </c>
      <c r="L21" s="320"/>
      <c r="M21" s="320" t="s">
        <v>142</v>
      </c>
      <c r="N21" s="321"/>
    </row>
    <row r="22" spans="1:14" ht="15" customHeight="1">
      <c r="A22" s="69">
        <f t="shared" si="0"/>
        <v>8</v>
      </c>
      <c r="B22" s="21" t="s">
        <v>288</v>
      </c>
      <c r="C22" s="81">
        <v>63</v>
      </c>
      <c r="D22" s="195" t="s">
        <v>297</v>
      </c>
      <c r="E22" s="184" t="s">
        <v>215</v>
      </c>
      <c r="F22" s="320" t="s">
        <v>216</v>
      </c>
      <c r="G22" s="320"/>
      <c r="H22" s="320" t="s">
        <v>152</v>
      </c>
      <c r="I22" s="320"/>
      <c r="J22" s="133" t="s">
        <v>153</v>
      </c>
      <c r="K22" s="320" t="s">
        <v>159</v>
      </c>
      <c r="L22" s="320"/>
      <c r="M22" s="320" t="s">
        <v>154</v>
      </c>
      <c r="N22" s="321"/>
    </row>
    <row r="23" spans="1:14">
      <c r="A23" s="69">
        <f t="shared" si="0"/>
        <v>9</v>
      </c>
      <c r="B23" s="21" t="s">
        <v>289</v>
      </c>
      <c r="C23" s="81">
        <v>69</v>
      </c>
      <c r="D23" s="195" t="s">
        <v>297</v>
      </c>
      <c r="E23" s="184" t="s">
        <v>156</v>
      </c>
      <c r="F23" s="182" t="s">
        <v>157</v>
      </c>
      <c r="G23" s="322" t="s">
        <v>158</v>
      </c>
      <c r="H23" s="322"/>
      <c r="I23" s="182" t="s">
        <v>153</v>
      </c>
      <c r="J23" s="182" t="s">
        <v>159</v>
      </c>
      <c r="K23" s="182" t="s">
        <v>154</v>
      </c>
      <c r="L23" s="182" t="s">
        <v>160</v>
      </c>
      <c r="M23" s="182" t="s">
        <v>161</v>
      </c>
      <c r="N23" s="185" t="s">
        <v>162</v>
      </c>
    </row>
    <row r="24" spans="1:14" ht="15" customHeight="1">
      <c r="A24" s="69">
        <f t="shared" si="0"/>
        <v>10</v>
      </c>
      <c r="B24" s="21" t="s">
        <v>290</v>
      </c>
      <c r="C24" s="81">
        <v>74</v>
      </c>
      <c r="D24" s="195" t="s">
        <v>297</v>
      </c>
      <c r="E24" s="319" t="s">
        <v>156</v>
      </c>
      <c r="F24" s="320"/>
      <c r="G24" s="320" t="s">
        <v>158</v>
      </c>
      <c r="H24" s="320"/>
      <c r="I24" s="320" t="s">
        <v>153</v>
      </c>
      <c r="J24" s="320"/>
      <c r="K24" s="320" t="s">
        <v>159</v>
      </c>
      <c r="L24" s="320"/>
      <c r="M24" s="320" t="s">
        <v>154</v>
      </c>
      <c r="N24" s="321"/>
    </row>
    <row r="25" spans="1:14" ht="15" customHeight="1">
      <c r="A25" s="69">
        <f t="shared" si="0"/>
        <v>11</v>
      </c>
      <c r="B25" s="21" t="s">
        <v>291</v>
      </c>
      <c r="C25" s="81">
        <v>81</v>
      </c>
      <c r="D25" s="195" t="s">
        <v>297</v>
      </c>
      <c r="E25" s="319" t="s">
        <v>163</v>
      </c>
      <c r="F25" s="320"/>
      <c r="G25" s="320" t="s">
        <v>164</v>
      </c>
      <c r="H25" s="320"/>
      <c r="I25" s="320" t="s">
        <v>165</v>
      </c>
      <c r="J25" s="320"/>
      <c r="K25" s="320" t="s">
        <v>154</v>
      </c>
      <c r="L25" s="320"/>
      <c r="M25" s="320" t="s">
        <v>218</v>
      </c>
      <c r="N25" s="321"/>
    </row>
    <row r="26" spans="1:14" ht="15" customHeight="1">
      <c r="A26" s="69">
        <f t="shared" si="0"/>
        <v>12</v>
      </c>
      <c r="B26" s="81" t="s">
        <v>292</v>
      </c>
      <c r="C26" s="81">
        <v>93</v>
      </c>
      <c r="D26" s="195" t="s">
        <v>297</v>
      </c>
      <c r="E26" s="319" t="s">
        <v>174</v>
      </c>
      <c r="F26" s="320"/>
      <c r="G26" s="320"/>
      <c r="H26" s="320"/>
      <c r="I26" s="320" t="s">
        <v>175</v>
      </c>
      <c r="J26" s="320"/>
      <c r="K26" s="320" t="s">
        <v>176</v>
      </c>
      <c r="L26" s="320"/>
      <c r="M26" s="320" t="s">
        <v>221</v>
      </c>
      <c r="N26" s="321"/>
    </row>
    <row r="27" spans="1:14">
      <c r="A27" s="69">
        <f t="shared" si="0"/>
        <v>13</v>
      </c>
      <c r="B27" s="21" t="s">
        <v>293</v>
      </c>
      <c r="C27" s="81">
        <v>99</v>
      </c>
      <c r="D27" s="195" t="s">
        <v>297</v>
      </c>
      <c r="E27" s="319" t="s">
        <v>223</v>
      </c>
      <c r="F27" s="320"/>
      <c r="G27" s="320" t="s">
        <v>224</v>
      </c>
      <c r="H27" s="320"/>
      <c r="I27" s="133" t="s">
        <v>177</v>
      </c>
      <c r="J27" s="320" t="s">
        <v>178</v>
      </c>
      <c r="K27" s="320"/>
      <c r="L27" s="320" t="s">
        <v>154</v>
      </c>
      <c r="M27" s="320"/>
      <c r="N27" s="134" t="s">
        <v>139</v>
      </c>
    </row>
    <row r="28" spans="1:14">
      <c r="A28" s="69">
        <f t="shared" si="0"/>
        <v>14</v>
      </c>
      <c r="B28" s="21" t="s">
        <v>294</v>
      </c>
      <c r="C28" s="81">
        <v>104</v>
      </c>
      <c r="D28" s="195" t="s">
        <v>297</v>
      </c>
      <c r="E28" s="315" t="s">
        <v>259</v>
      </c>
      <c r="F28" s="316"/>
      <c r="G28" s="316"/>
      <c r="H28" s="316"/>
      <c r="I28" s="316"/>
      <c r="J28" s="316"/>
      <c r="K28" s="316"/>
      <c r="L28" s="316"/>
      <c r="M28" s="316"/>
      <c r="N28" s="317"/>
    </row>
    <row r="29" spans="1:14">
      <c r="A29" s="69" t="str">
        <f t="shared" si="0"/>
        <v/>
      </c>
    </row>
    <row r="30" spans="1:14">
      <c r="A30" s="69" t="str">
        <f t="shared" si="0"/>
        <v/>
      </c>
    </row>
    <row r="31" spans="1:14">
      <c r="A31" s="69" t="str">
        <f t="shared" si="0"/>
        <v/>
      </c>
    </row>
    <row r="32" spans="1:14">
      <c r="A32" s="69" t="str">
        <f t="shared" si="0"/>
        <v/>
      </c>
    </row>
    <row r="33" spans="1:1">
      <c r="A33" s="69" t="str">
        <f t="shared" si="0"/>
        <v/>
      </c>
    </row>
    <row r="34" spans="1:1">
      <c r="A34" s="69" t="str">
        <f t="shared" si="0"/>
        <v/>
      </c>
    </row>
    <row r="35" spans="1:1">
      <c r="A35" s="69" t="str">
        <f t="shared" si="0"/>
        <v/>
      </c>
    </row>
    <row r="36" spans="1:1">
      <c r="A36" s="69" t="str">
        <f t="shared" si="0"/>
        <v/>
      </c>
    </row>
    <row r="37" spans="1:1">
      <c r="A37" s="69" t="str">
        <f t="shared" si="0"/>
        <v/>
      </c>
    </row>
    <row r="38" spans="1:1">
      <c r="A38" s="69" t="str">
        <f t="shared" si="0"/>
        <v/>
      </c>
    </row>
  </sheetData>
  <mergeCells count="44">
    <mergeCell ref="A1:I1"/>
    <mergeCell ref="B8:B11"/>
    <mergeCell ref="F15:G15"/>
    <mergeCell ref="H16:I16"/>
    <mergeCell ref="E17:H17"/>
    <mergeCell ref="I17:K17"/>
    <mergeCell ref="M17:N17"/>
    <mergeCell ref="E18:F18"/>
    <mergeCell ref="G18:H18"/>
    <mergeCell ref="E19:F19"/>
    <mergeCell ref="G19:H19"/>
    <mergeCell ref="F20:G20"/>
    <mergeCell ref="H20:I20"/>
    <mergeCell ref="K20:L20"/>
    <mergeCell ref="M20:N20"/>
    <mergeCell ref="F21:G21"/>
    <mergeCell ref="H21:I21"/>
    <mergeCell ref="K21:L21"/>
    <mergeCell ref="M21:N21"/>
    <mergeCell ref="G24:H24"/>
    <mergeCell ref="I24:J24"/>
    <mergeCell ref="K24:L24"/>
    <mergeCell ref="M24:N24"/>
    <mergeCell ref="F22:G22"/>
    <mergeCell ref="H22:I22"/>
    <mergeCell ref="K22:L22"/>
    <mergeCell ref="M22:N22"/>
    <mergeCell ref="G23:H23"/>
    <mergeCell ref="E28:N28"/>
    <mergeCell ref="E14:N14"/>
    <mergeCell ref="E26:H26"/>
    <mergeCell ref="I26:J26"/>
    <mergeCell ref="K26:L26"/>
    <mergeCell ref="M26:N26"/>
    <mergeCell ref="E27:F27"/>
    <mergeCell ref="G27:H27"/>
    <mergeCell ref="J27:K27"/>
    <mergeCell ref="L27:M27"/>
    <mergeCell ref="E25:F25"/>
    <mergeCell ref="G25:H25"/>
    <mergeCell ref="I25:J25"/>
    <mergeCell ref="K25:L25"/>
    <mergeCell ref="M25:N25"/>
    <mergeCell ref="E24:F24"/>
  </mergeCells>
  <phoneticPr fontId="5"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7" r:id="rId3" name="Button 9">
              <controlPr defaultSize="0" print="0" autoFill="0" autoPict="0" macro="[0]!生成数据表.生成数据表">
                <anchor>
                  <from>
                    <xdr:col>4</xdr:col>
                    <xdr:colOff>381000</xdr:colOff>
                    <xdr:row>4</xdr:row>
                    <xdr:rowOff>146050</xdr:rowOff>
                  </from>
                  <to>
                    <xdr:col>5</xdr:col>
                    <xdr:colOff>793750</xdr:colOff>
                    <xdr:row>6</xdr:row>
                    <xdr:rowOff>107950</xdr:rowOff>
                  </to>
                </anchor>
              </controlPr>
            </control>
          </mc:Choice>
        </mc:AlternateContent>
        <mc:AlternateContent xmlns:mc="http://schemas.openxmlformats.org/markup-compatibility/2006">
          <mc:Choice Requires="x14">
            <control shapeId="12299" r:id="rId4" name="Button 11">
              <controlPr defaultSize="0" print="0" autoFill="0" autoPict="0" macro="[0]!删除数据表.删除数据表">
                <anchor>
                  <from>
                    <xdr:col>6</xdr:col>
                    <xdr:colOff>133350</xdr:colOff>
                    <xdr:row>4</xdr:row>
                    <xdr:rowOff>133350</xdr:rowOff>
                  </from>
                  <to>
                    <xdr:col>8</xdr:col>
                    <xdr:colOff>101600</xdr:colOff>
                    <xdr:row>6</xdr:row>
                    <xdr:rowOff>95250</xdr:rowOff>
                  </to>
                </anchor>
              </controlPr>
            </control>
          </mc:Choice>
        </mc:AlternateContent>
        <mc:AlternateContent xmlns:mc="http://schemas.openxmlformats.org/markup-compatibility/2006">
          <mc:Choice Requires="x14">
            <control shapeId="12300" r:id="rId5" name="Button 12">
              <controlPr defaultSize="0" print="0" autoFill="0" autoPict="0" macro="[0]!生成询证函.生成询证函">
                <anchor>
                  <from>
                    <xdr:col>4</xdr:col>
                    <xdr:colOff>374650</xdr:colOff>
                    <xdr:row>7</xdr:row>
                    <xdr:rowOff>76200</xdr:rowOff>
                  </from>
                  <to>
                    <xdr:col>5</xdr:col>
                    <xdr:colOff>787400</xdr:colOff>
                    <xdr:row>9</xdr:row>
                    <xdr:rowOff>38100</xdr:rowOff>
                  </to>
                </anchor>
              </controlPr>
            </control>
          </mc:Choice>
        </mc:AlternateContent>
        <mc:AlternateContent xmlns:mc="http://schemas.openxmlformats.org/markup-compatibility/2006">
          <mc:Choice Requires="x14">
            <control shapeId="12301" r:id="rId6" name="Button 13">
              <controlPr defaultSize="0" print="0" autoFill="0" autoPict="0" macro="[0]!删除询证函.删除询证函">
                <anchor>
                  <from>
                    <xdr:col>6</xdr:col>
                    <xdr:colOff>127000</xdr:colOff>
                    <xdr:row>7</xdr:row>
                    <xdr:rowOff>76200</xdr:rowOff>
                  </from>
                  <to>
                    <xdr:col>8</xdr:col>
                    <xdr:colOff>95250</xdr:colOff>
                    <xdr:row>9</xdr:row>
                    <xdr:rowOff>38100</xdr:rowOff>
                  </to>
                </anchor>
              </controlPr>
            </control>
          </mc:Choice>
        </mc:AlternateContent>
        <mc:AlternateContent xmlns:mc="http://schemas.openxmlformats.org/markup-compatibility/2006">
          <mc:Choice Requires="x14">
            <control shapeId="12303" r:id="rId7" name="Button 15">
              <controlPr defaultSize="0" print="0" autoFill="0" autoPict="0" macro="[0]!ShowForm">
                <anchor>
                  <from>
                    <xdr:col>4</xdr:col>
                    <xdr:colOff>381000</xdr:colOff>
                    <xdr:row>10</xdr:row>
                    <xdr:rowOff>0</xdr:rowOff>
                  </from>
                  <to>
                    <xdr:col>5</xdr:col>
                    <xdr:colOff>793750</xdr:colOff>
                    <xdr:row>11</xdr:row>
                    <xdr:rowOff>139700</xdr:rowOff>
                  </to>
                </anchor>
              </controlPr>
            </control>
          </mc:Choice>
        </mc:AlternateContent>
        <mc:AlternateContent xmlns:mc="http://schemas.openxmlformats.org/markup-compatibility/2006">
          <mc:Choice Requires="x14">
            <control shapeId="12304" r:id="rId8" name="Button 16">
              <controlPr defaultSize="0" print="0" autoFill="0" autoPict="0" macro="[0]!显示所有模板.显示所有模板">
                <anchor>
                  <from>
                    <xdr:col>4</xdr:col>
                    <xdr:colOff>381000</xdr:colOff>
                    <xdr:row>2</xdr:row>
                    <xdr:rowOff>57150</xdr:rowOff>
                  </from>
                  <to>
                    <xdr:col>5</xdr:col>
                    <xdr:colOff>793750</xdr:colOff>
                    <xdr:row>4</xdr:row>
                    <xdr:rowOff>19050</xdr:rowOff>
                  </to>
                </anchor>
              </controlPr>
            </control>
          </mc:Choice>
        </mc:AlternateContent>
        <mc:AlternateContent xmlns:mc="http://schemas.openxmlformats.org/markup-compatibility/2006">
          <mc:Choice Requires="x14">
            <control shapeId="12305" r:id="rId9" name="Button 17">
              <controlPr defaultSize="0" print="0" autoFill="0" autoPict="0" macro="[0]!隐藏其他模板.隐藏其他模板">
                <anchor>
                  <from>
                    <xdr:col>6</xdr:col>
                    <xdr:colOff>120650</xdr:colOff>
                    <xdr:row>2</xdr:row>
                    <xdr:rowOff>38100</xdr:rowOff>
                  </from>
                  <to>
                    <xdr:col>8</xdr:col>
                    <xdr:colOff>88900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X909"/>
  <sheetViews>
    <sheetView topLeftCell="A13" workbookViewId="0">
      <selection activeCell="E2" sqref="E2"/>
    </sheetView>
  </sheetViews>
  <sheetFormatPr defaultRowHeight="14"/>
  <cols>
    <col min="1" max="1" width="10.4140625" style="55" customWidth="1"/>
    <col min="2" max="3" width="25.33203125" style="51" customWidth="1"/>
    <col min="4" max="4" width="15.58203125" style="48" customWidth="1"/>
    <col min="5" max="5" width="24.83203125" style="48" bestFit="1" customWidth="1"/>
    <col min="6" max="6" width="24.83203125" style="48" customWidth="1"/>
    <col min="7" max="7" width="7.08203125" style="52" customWidth="1"/>
    <col min="8" max="8" width="11.83203125" customWidth="1"/>
    <col min="9" max="9" width="8.58203125" customWidth="1"/>
    <col min="10" max="10" width="16.25" style="57" customWidth="1"/>
    <col min="11" max="11" width="8.6640625" style="57"/>
    <col min="12" max="12" width="11.83203125" style="57" customWidth="1"/>
    <col min="13" max="13" width="8.6640625" style="57"/>
    <col min="14" max="14" width="13.58203125" style="57" customWidth="1"/>
    <col min="15" max="19" width="8.6640625" style="57"/>
    <col min="20" max="24" width="8.6640625" style="68"/>
  </cols>
  <sheetData>
    <row r="1" spans="1:10" ht="25.5" customHeight="1">
      <c r="A1" s="54" t="s">
        <v>37</v>
      </c>
      <c r="B1" s="56" t="s">
        <v>46</v>
      </c>
      <c r="C1" s="56" t="s">
        <v>47</v>
      </c>
      <c r="D1" s="54" t="s">
        <v>38</v>
      </c>
      <c r="E1" s="54" t="s">
        <v>39</v>
      </c>
      <c r="F1" s="54" t="s">
        <v>180</v>
      </c>
      <c r="G1" s="57" t="s">
        <v>43</v>
      </c>
      <c r="H1" s="57" t="s">
        <v>45</v>
      </c>
      <c r="I1" s="57" t="s">
        <v>44</v>
      </c>
      <c r="J1" s="83" t="str">
        <f>HYPERLINK("#操作平台!A3","返回操作平台")</f>
        <v>返回操作平台</v>
      </c>
    </row>
    <row r="2" spans="1:10">
      <c r="A2" s="55">
        <f>IF(C2&lt;&gt;"",ROW(C2)-1,"")</f>
        <v>1</v>
      </c>
      <c r="B2" s="51" t="s">
        <v>88</v>
      </c>
      <c r="C2" s="47" t="s">
        <v>60</v>
      </c>
      <c r="D2" s="64" t="s">
        <v>40</v>
      </c>
      <c r="E2" s="49" t="s">
        <v>59</v>
      </c>
      <c r="F2" s="49"/>
      <c r="G2" s="50"/>
      <c r="J2" s="65" t="str">
        <f>IF(A2&lt;&gt;"",HYPERLINK("#"&amp;A2&amp;"!A1",D2),"")</f>
        <v>100-4300-4-1p</v>
      </c>
    </row>
    <row r="3" spans="1:10">
      <c r="A3" s="55">
        <f t="shared" ref="A3:A66" si="0">IF(C3&lt;&gt;"",ROW(C3)-1,"")</f>
        <v>2</v>
      </c>
      <c r="B3" s="51" t="s">
        <v>55</v>
      </c>
      <c r="C3" s="47" t="s">
        <v>61</v>
      </c>
      <c r="D3" s="64" t="s">
        <v>41</v>
      </c>
      <c r="E3" s="49" t="s">
        <v>131</v>
      </c>
      <c r="F3" s="49"/>
      <c r="G3" s="50"/>
      <c r="J3" s="65" t="str">
        <f t="shared" ref="J3:J66" si="1">IF(A3&lt;&gt;"",HYPERLINK("#"&amp;A3&amp;"!A1",D3),"")</f>
        <v>300-4300-3-1p</v>
      </c>
    </row>
    <row r="4" spans="1:10">
      <c r="A4" s="55">
        <f t="shared" si="0"/>
        <v>3</v>
      </c>
      <c r="B4" s="51" t="s">
        <v>55</v>
      </c>
      <c r="C4" s="47" t="s">
        <v>62</v>
      </c>
      <c r="D4" s="64" t="s">
        <v>42</v>
      </c>
      <c r="E4" s="49" t="s">
        <v>63</v>
      </c>
      <c r="F4" s="49"/>
      <c r="G4" s="50"/>
      <c r="J4" s="65" t="str">
        <f t="shared" si="1"/>
        <v>300-4300-3-2p</v>
      </c>
    </row>
    <row r="5" spans="1:10">
      <c r="A5" s="55">
        <f t="shared" si="0"/>
        <v>4</v>
      </c>
      <c r="B5" s="51" t="s">
        <v>55</v>
      </c>
      <c r="C5" s="47" t="s">
        <v>64</v>
      </c>
      <c r="D5" s="64" t="s">
        <v>97</v>
      </c>
      <c r="E5" s="49" t="s">
        <v>65</v>
      </c>
      <c r="F5" s="49"/>
      <c r="G5" s="50"/>
      <c r="J5" s="65" t="str">
        <f t="shared" si="1"/>
        <v>300-4300-3-3p</v>
      </c>
    </row>
    <row r="6" spans="1:10">
      <c r="A6" s="55">
        <f t="shared" si="0"/>
        <v>5</v>
      </c>
      <c r="B6" s="51" t="s">
        <v>55</v>
      </c>
      <c r="C6" s="47" t="s">
        <v>66</v>
      </c>
      <c r="D6" s="64" t="s">
        <v>98</v>
      </c>
      <c r="E6" s="49" t="s">
        <v>67</v>
      </c>
      <c r="F6" s="49"/>
      <c r="G6" s="50"/>
      <c r="J6" s="65" t="str">
        <f t="shared" si="1"/>
        <v>300-4300-3-4p</v>
      </c>
    </row>
    <row r="7" spans="1:10">
      <c r="A7" s="55">
        <f t="shared" si="0"/>
        <v>6</v>
      </c>
      <c r="B7" s="51" t="s">
        <v>55</v>
      </c>
      <c r="C7" s="47" t="s">
        <v>68</v>
      </c>
      <c r="D7" s="64" t="s">
        <v>99</v>
      </c>
      <c r="E7" s="49" t="s">
        <v>69</v>
      </c>
      <c r="F7" s="49"/>
      <c r="G7" s="50"/>
      <c r="J7" s="65" t="str">
        <f t="shared" si="1"/>
        <v>300-4300-3-5p</v>
      </c>
    </row>
    <row r="8" spans="1:10">
      <c r="A8" s="55">
        <f t="shared" si="0"/>
        <v>7</v>
      </c>
      <c r="B8" s="51" t="s">
        <v>55</v>
      </c>
      <c r="C8" s="47" t="s">
        <v>70</v>
      </c>
      <c r="D8" s="64" t="s">
        <v>100</v>
      </c>
      <c r="E8" s="49" t="s">
        <v>71</v>
      </c>
      <c r="F8" s="49"/>
      <c r="G8" s="50"/>
      <c r="J8" s="65" t="str">
        <f t="shared" si="1"/>
        <v>300-4300-3-6p</v>
      </c>
    </row>
    <row r="9" spans="1:10">
      <c r="A9" s="55">
        <f t="shared" si="0"/>
        <v>8</v>
      </c>
      <c r="B9" s="51" t="s">
        <v>55</v>
      </c>
      <c r="C9" s="47" t="s">
        <v>72</v>
      </c>
      <c r="D9" s="64" t="s">
        <v>101</v>
      </c>
      <c r="E9" s="49" t="s">
        <v>73</v>
      </c>
      <c r="F9" s="49"/>
      <c r="G9" s="50"/>
      <c r="J9" s="65" t="str">
        <f t="shared" si="1"/>
        <v>300-4300-3-7p</v>
      </c>
    </row>
    <row r="10" spans="1:10">
      <c r="A10" s="55">
        <f t="shared" si="0"/>
        <v>9</v>
      </c>
      <c r="B10" s="51" t="s">
        <v>55</v>
      </c>
      <c r="C10" s="47" t="s">
        <v>74</v>
      </c>
      <c r="D10" s="64" t="s">
        <v>102</v>
      </c>
      <c r="E10" s="49" t="s">
        <v>75</v>
      </c>
      <c r="F10" s="49"/>
      <c r="G10" s="50"/>
      <c r="J10" s="65" t="str">
        <f t="shared" si="1"/>
        <v>300-4300-3-8p</v>
      </c>
    </row>
    <row r="11" spans="1:10">
      <c r="A11" s="55">
        <f t="shared" si="0"/>
        <v>10</v>
      </c>
      <c r="B11" s="51" t="s">
        <v>55</v>
      </c>
      <c r="C11" s="47" t="s">
        <v>76</v>
      </c>
      <c r="D11" s="64" t="s">
        <v>103</v>
      </c>
      <c r="E11" s="49" t="s">
        <v>77</v>
      </c>
      <c r="F11" s="49"/>
      <c r="G11" s="50"/>
      <c r="J11" s="65" t="str">
        <f t="shared" si="1"/>
        <v>300-4300-3-9p</v>
      </c>
    </row>
    <row r="12" spans="1:10">
      <c r="A12" s="55">
        <f t="shared" si="0"/>
        <v>11</v>
      </c>
      <c r="B12" s="51" t="s">
        <v>55</v>
      </c>
      <c r="C12" s="47" t="s">
        <v>78</v>
      </c>
      <c r="D12" s="64" t="s">
        <v>104</v>
      </c>
      <c r="E12" s="49" t="s">
        <v>79</v>
      </c>
      <c r="F12" s="49"/>
      <c r="G12" s="50"/>
      <c r="J12" s="65" t="str">
        <f t="shared" si="1"/>
        <v>300-4300-3-10p</v>
      </c>
    </row>
    <row r="13" spans="1:10">
      <c r="A13" s="55">
        <f t="shared" si="0"/>
        <v>12</v>
      </c>
      <c r="B13" s="51" t="s">
        <v>55</v>
      </c>
      <c r="C13" s="47" t="s">
        <v>80</v>
      </c>
      <c r="D13" s="64" t="s">
        <v>105</v>
      </c>
      <c r="E13" s="49" t="s">
        <v>81</v>
      </c>
      <c r="F13" s="49"/>
      <c r="G13" s="50"/>
      <c r="J13" s="65" t="str">
        <f t="shared" si="1"/>
        <v>300-4300-3-11p</v>
      </c>
    </row>
    <row r="14" spans="1:10">
      <c r="A14" s="55">
        <f t="shared" si="0"/>
        <v>13</v>
      </c>
      <c r="B14" s="51" t="s">
        <v>55</v>
      </c>
      <c r="C14" s="47" t="s">
        <v>82</v>
      </c>
      <c r="D14" s="64" t="s">
        <v>106</v>
      </c>
      <c r="E14" s="49" t="s">
        <v>83</v>
      </c>
      <c r="F14" s="49"/>
      <c r="G14" s="50"/>
      <c r="J14" s="65" t="str">
        <f t="shared" si="1"/>
        <v>300-4300-3-12p</v>
      </c>
    </row>
    <row r="15" spans="1:10">
      <c r="A15" s="55">
        <f t="shared" si="0"/>
        <v>14</v>
      </c>
      <c r="B15" s="51" t="s">
        <v>55</v>
      </c>
      <c r="C15" s="47" t="s">
        <v>84</v>
      </c>
      <c r="D15" s="64" t="s">
        <v>107</v>
      </c>
      <c r="E15" s="49" t="s">
        <v>85</v>
      </c>
      <c r="F15" s="49"/>
      <c r="G15" s="50"/>
      <c r="J15" s="65" t="str">
        <f t="shared" si="1"/>
        <v>300-4300-3-13p</v>
      </c>
    </row>
    <row r="16" spans="1:10">
      <c r="A16" s="55">
        <f t="shared" si="0"/>
        <v>15</v>
      </c>
      <c r="B16" s="51" t="s">
        <v>55</v>
      </c>
      <c r="C16" s="47" t="s">
        <v>86</v>
      </c>
      <c r="D16" s="64" t="s">
        <v>108</v>
      </c>
      <c r="E16" s="49" t="s">
        <v>87</v>
      </c>
      <c r="F16" s="49"/>
      <c r="G16" s="50"/>
      <c r="J16" s="65" t="str">
        <f t="shared" si="1"/>
        <v>300-4300-3-14p</v>
      </c>
    </row>
    <row r="17" spans="1:10">
      <c r="A17" s="55" t="str">
        <f t="shared" si="0"/>
        <v/>
      </c>
      <c r="E17" s="49"/>
      <c r="F17" s="49"/>
      <c r="G17" s="50"/>
      <c r="J17" s="65" t="str">
        <f t="shared" si="1"/>
        <v/>
      </c>
    </row>
    <row r="18" spans="1:10">
      <c r="A18" s="55" t="str">
        <f t="shared" si="0"/>
        <v/>
      </c>
      <c r="E18" s="49"/>
      <c r="F18" s="49"/>
      <c r="G18" s="50"/>
      <c r="J18" s="65" t="str">
        <f t="shared" si="1"/>
        <v/>
      </c>
    </row>
    <row r="19" spans="1:10">
      <c r="A19" s="55" t="str">
        <f t="shared" si="0"/>
        <v/>
      </c>
      <c r="E19" s="49"/>
      <c r="F19" s="49"/>
      <c r="G19" s="50"/>
      <c r="J19" s="65" t="str">
        <f t="shared" si="1"/>
        <v/>
      </c>
    </row>
    <row r="20" spans="1:10">
      <c r="A20" s="55" t="str">
        <f t="shared" si="0"/>
        <v/>
      </c>
      <c r="B20" s="47"/>
      <c r="C20" s="47"/>
      <c r="J20" s="65" t="str">
        <f t="shared" si="1"/>
        <v/>
      </c>
    </row>
    <row r="21" spans="1:10">
      <c r="A21" s="55" t="str">
        <f t="shared" si="0"/>
        <v/>
      </c>
      <c r="B21" s="47"/>
      <c r="C21" s="47"/>
      <c r="J21" s="65" t="str">
        <f t="shared" si="1"/>
        <v/>
      </c>
    </row>
    <row r="22" spans="1:10">
      <c r="A22" s="55" t="str">
        <f t="shared" si="0"/>
        <v/>
      </c>
      <c r="B22" s="47"/>
      <c r="C22" s="47"/>
      <c r="J22" s="65" t="str">
        <f t="shared" si="1"/>
        <v/>
      </c>
    </row>
    <row r="23" spans="1:10">
      <c r="A23" s="55" t="str">
        <f t="shared" si="0"/>
        <v/>
      </c>
      <c r="B23" s="47"/>
      <c r="C23" s="47"/>
      <c r="J23" s="65" t="str">
        <f t="shared" si="1"/>
        <v/>
      </c>
    </row>
    <row r="24" spans="1:10">
      <c r="A24" s="55" t="str">
        <f t="shared" si="0"/>
        <v/>
      </c>
      <c r="B24" s="47"/>
      <c r="C24" s="47"/>
      <c r="J24" s="65" t="str">
        <f t="shared" si="1"/>
        <v/>
      </c>
    </row>
    <row r="25" spans="1:10">
      <c r="A25" s="55" t="str">
        <f t="shared" si="0"/>
        <v/>
      </c>
      <c r="B25" s="47"/>
      <c r="C25" s="47"/>
      <c r="J25" s="65" t="str">
        <f t="shared" si="1"/>
        <v/>
      </c>
    </row>
    <row r="26" spans="1:10">
      <c r="A26" s="55" t="str">
        <f t="shared" si="0"/>
        <v/>
      </c>
      <c r="B26" s="47"/>
      <c r="C26" s="47"/>
      <c r="J26" s="65" t="str">
        <f t="shared" si="1"/>
        <v/>
      </c>
    </row>
    <row r="27" spans="1:10">
      <c r="A27" s="55" t="str">
        <f t="shared" si="0"/>
        <v/>
      </c>
      <c r="J27" s="65" t="str">
        <f t="shared" si="1"/>
        <v/>
      </c>
    </row>
    <row r="28" spans="1:10">
      <c r="A28" s="55" t="str">
        <f t="shared" si="0"/>
        <v/>
      </c>
      <c r="J28" s="65" t="str">
        <f t="shared" si="1"/>
        <v/>
      </c>
    </row>
    <row r="29" spans="1:10">
      <c r="A29" s="55" t="str">
        <f t="shared" si="0"/>
        <v/>
      </c>
      <c r="J29" s="65" t="str">
        <f t="shared" si="1"/>
        <v/>
      </c>
    </row>
    <row r="30" spans="1:10">
      <c r="A30" s="55" t="str">
        <f t="shared" si="0"/>
        <v/>
      </c>
      <c r="J30" s="65" t="str">
        <f t="shared" si="1"/>
        <v/>
      </c>
    </row>
    <row r="31" spans="1:10">
      <c r="A31" s="55" t="str">
        <f t="shared" si="0"/>
        <v/>
      </c>
      <c r="J31" s="65" t="str">
        <f t="shared" si="1"/>
        <v/>
      </c>
    </row>
    <row r="32" spans="1:10">
      <c r="A32" s="55" t="str">
        <f t="shared" si="0"/>
        <v/>
      </c>
      <c r="J32" s="65" t="str">
        <f t="shared" si="1"/>
        <v/>
      </c>
    </row>
    <row r="33" spans="1:10">
      <c r="A33" s="55" t="str">
        <f t="shared" si="0"/>
        <v/>
      </c>
      <c r="J33" s="65" t="str">
        <f t="shared" si="1"/>
        <v/>
      </c>
    </row>
    <row r="34" spans="1:10">
      <c r="A34" s="55" t="str">
        <f t="shared" si="0"/>
        <v/>
      </c>
      <c r="J34" s="65" t="str">
        <f t="shared" si="1"/>
        <v/>
      </c>
    </row>
    <row r="35" spans="1:10">
      <c r="A35" s="55" t="str">
        <f t="shared" si="0"/>
        <v/>
      </c>
      <c r="J35" s="65" t="str">
        <f t="shared" si="1"/>
        <v/>
      </c>
    </row>
    <row r="36" spans="1:10">
      <c r="A36" s="55" t="str">
        <f t="shared" si="0"/>
        <v/>
      </c>
      <c r="J36" s="65" t="str">
        <f t="shared" si="1"/>
        <v/>
      </c>
    </row>
    <row r="37" spans="1:10">
      <c r="A37" s="55" t="str">
        <f t="shared" si="0"/>
        <v/>
      </c>
      <c r="J37" s="65" t="str">
        <f t="shared" si="1"/>
        <v/>
      </c>
    </row>
    <row r="38" spans="1:10">
      <c r="A38" s="55" t="str">
        <f t="shared" si="0"/>
        <v/>
      </c>
      <c r="J38" s="65" t="str">
        <f t="shared" si="1"/>
        <v/>
      </c>
    </row>
    <row r="39" spans="1:10">
      <c r="A39" s="55" t="str">
        <f t="shared" si="0"/>
        <v/>
      </c>
      <c r="J39" s="65" t="str">
        <f t="shared" si="1"/>
        <v/>
      </c>
    </row>
    <row r="40" spans="1:10">
      <c r="A40" s="55" t="str">
        <f t="shared" si="0"/>
        <v/>
      </c>
      <c r="J40" s="65" t="str">
        <f t="shared" si="1"/>
        <v/>
      </c>
    </row>
    <row r="41" spans="1:10">
      <c r="A41" s="55" t="str">
        <f t="shared" si="0"/>
        <v/>
      </c>
      <c r="J41" s="65" t="str">
        <f t="shared" si="1"/>
        <v/>
      </c>
    </row>
    <row r="42" spans="1:10">
      <c r="A42" s="55" t="str">
        <f t="shared" si="0"/>
        <v/>
      </c>
      <c r="J42" s="65" t="str">
        <f t="shared" si="1"/>
        <v/>
      </c>
    </row>
    <row r="43" spans="1:10">
      <c r="A43" s="55" t="str">
        <f t="shared" si="0"/>
        <v/>
      </c>
      <c r="J43" s="65" t="str">
        <f t="shared" si="1"/>
        <v/>
      </c>
    </row>
    <row r="44" spans="1:10">
      <c r="A44" s="55" t="str">
        <f t="shared" si="0"/>
        <v/>
      </c>
      <c r="J44" s="65" t="str">
        <f t="shared" si="1"/>
        <v/>
      </c>
    </row>
    <row r="45" spans="1:10">
      <c r="A45" s="55" t="str">
        <f t="shared" si="0"/>
        <v/>
      </c>
      <c r="J45" s="65" t="str">
        <f t="shared" si="1"/>
        <v/>
      </c>
    </row>
    <row r="46" spans="1:10">
      <c r="A46" s="55" t="str">
        <f t="shared" si="0"/>
        <v/>
      </c>
      <c r="J46" s="65" t="str">
        <f t="shared" si="1"/>
        <v/>
      </c>
    </row>
    <row r="47" spans="1:10">
      <c r="A47" s="55" t="str">
        <f t="shared" si="0"/>
        <v/>
      </c>
      <c r="J47" s="65" t="str">
        <f t="shared" si="1"/>
        <v/>
      </c>
    </row>
    <row r="48" spans="1:10">
      <c r="A48" s="55" t="str">
        <f t="shared" si="0"/>
        <v/>
      </c>
      <c r="J48" s="65" t="str">
        <f t="shared" si="1"/>
        <v/>
      </c>
    </row>
    <row r="49" spans="1:10">
      <c r="A49" s="55" t="str">
        <f t="shared" si="0"/>
        <v/>
      </c>
      <c r="J49" s="65" t="str">
        <f t="shared" si="1"/>
        <v/>
      </c>
    </row>
    <row r="50" spans="1:10">
      <c r="A50" s="55" t="str">
        <f t="shared" si="0"/>
        <v/>
      </c>
      <c r="J50" s="65" t="str">
        <f t="shared" si="1"/>
        <v/>
      </c>
    </row>
    <row r="51" spans="1:10">
      <c r="A51" s="55" t="str">
        <f t="shared" si="0"/>
        <v/>
      </c>
      <c r="J51" s="65" t="str">
        <f t="shared" si="1"/>
        <v/>
      </c>
    </row>
    <row r="52" spans="1:10">
      <c r="A52" s="55" t="str">
        <f t="shared" si="0"/>
        <v/>
      </c>
      <c r="J52" s="65" t="str">
        <f t="shared" si="1"/>
        <v/>
      </c>
    </row>
    <row r="53" spans="1:10">
      <c r="A53" s="55" t="str">
        <f t="shared" si="0"/>
        <v/>
      </c>
      <c r="J53" s="65" t="str">
        <f t="shared" si="1"/>
        <v/>
      </c>
    </row>
    <row r="54" spans="1:10">
      <c r="A54" s="55" t="str">
        <f t="shared" si="0"/>
        <v/>
      </c>
      <c r="J54" s="65" t="str">
        <f t="shared" si="1"/>
        <v/>
      </c>
    </row>
    <row r="55" spans="1:10">
      <c r="A55" s="55" t="str">
        <f t="shared" si="0"/>
        <v/>
      </c>
      <c r="J55" s="65" t="str">
        <f t="shared" si="1"/>
        <v/>
      </c>
    </row>
    <row r="56" spans="1:10">
      <c r="A56" s="55" t="str">
        <f t="shared" si="0"/>
        <v/>
      </c>
      <c r="J56" s="65" t="str">
        <f t="shared" si="1"/>
        <v/>
      </c>
    </row>
    <row r="57" spans="1:10">
      <c r="A57" s="55" t="str">
        <f t="shared" si="0"/>
        <v/>
      </c>
      <c r="J57" s="65" t="str">
        <f t="shared" si="1"/>
        <v/>
      </c>
    </row>
    <row r="58" spans="1:10">
      <c r="A58" s="55" t="str">
        <f t="shared" si="0"/>
        <v/>
      </c>
      <c r="J58" s="65" t="str">
        <f t="shared" si="1"/>
        <v/>
      </c>
    </row>
    <row r="59" spans="1:10">
      <c r="A59" s="55" t="str">
        <f t="shared" si="0"/>
        <v/>
      </c>
      <c r="J59" s="65" t="str">
        <f t="shared" si="1"/>
        <v/>
      </c>
    </row>
    <row r="60" spans="1:10">
      <c r="A60" s="55" t="str">
        <f t="shared" si="0"/>
        <v/>
      </c>
      <c r="J60" s="65" t="str">
        <f t="shared" si="1"/>
        <v/>
      </c>
    </row>
    <row r="61" spans="1:10">
      <c r="A61" s="55" t="str">
        <f t="shared" si="0"/>
        <v/>
      </c>
      <c r="J61" s="65" t="str">
        <f t="shared" si="1"/>
        <v/>
      </c>
    </row>
    <row r="62" spans="1:10">
      <c r="A62" s="55" t="str">
        <f t="shared" si="0"/>
        <v/>
      </c>
      <c r="J62" s="65" t="str">
        <f t="shared" si="1"/>
        <v/>
      </c>
    </row>
    <row r="63" spans="1:10">
      <c r="A63" s="55" t="str">
        <f t="shared" si="0"/>
        <v/>
      </c>
      <c r="J63" s="65" t="str">
        <f t="shared" si="1"/>
        <v/>
      </c>
    </row>
    <row r="64" spans="1:10">
      <c r="A64" s="55" t="str">
        <f t="shared" si="0"/>
        <v/>
      </c>
      <c r="J64" s="65" t="str">
        <f t="shared" si="1"/>
        <v/>
      </c>
    </row>
    <row r="65" spans="1:10">
      <c r="A65" s="55" t="str">
        <f t="shared" si="0"/>
        <v/>
      </c>
      <c r="J65" s="65" t="str">
        <f t="shared" si="1"/>
        <v/>
      </c>
    </row>
    <row r="66" spans="1:10">
      <c r="A66" s="55" t="str">
        <f t="shared" si="0"/>
        <v/>
      </c>
      <c r="J66" s="65" t="str">
        <f t="shared" si="1"/>
        <v/>
      </c>
    </row>
    <row r="67" spans="1:10">
      <c r="A67" s="55" t="str">
        <f t="shared" ref="A67:A130" si="2">IF(C67&lt;&gt;"",ROW(C67)-1,"")</f>
        <v/>
      </c>
      <c r="J67" s="65" t="str">
        <f t="shared" ref="J67:J130" si="3">IF(A67&lt;&gt;"",HYPERLINK("#"&amp;A67&amp;"!A1",D67),"")</f>
        <v/>
      </c>
    </row>
    <row r="68" spans="1:10">
      <c r="A68" s="55" t="str">
        <f t="shared" si="2"/>
        <v/>
      </c>
      <c r="J68" s="65" t="str">
        <f t="shared" si="3"/>
        <v/>
      </c>
    </row>
    <row r="69" spans="1:10">
      <c r="A69" s="55" t="str">
        <f t="shared" si="2"/>
        <v/>
      </c>
      <c r="J69" s="65" t="str">
        <f t="shared" si="3"/>
        <v/>
      </c>
    </row>
    <row r="70" spans="1:10">
      <c r="A70" s="55" t="str">
        <f t="shared" si="2"/>
        <v/>
      </c>
      <c r="J70" s="65" t="str">
        <f t="shared" si="3"/>
        <v/>
      </c>
    </row>
    <row r="71" spans="1:10">
      <c r="A71" s="55" t="str">
        <f t="shared" si="2"/>
        <v/>
      </c>
      <c r="J71" s="65" t="str">
        <f t="shared" si="3"/>
        <v/>
      </c>
    </row>
    <row r="72" spans="1:10">
      <c r="A72" s="55" t="str">
        <f t="shared" si="2"/>
        <v/>
      </c>
      <c r="J72" s="65" t="str">
        <f t="shared" si="3"/>
        <v/>
      </c>
    </row>
    <row r="73" spans="1:10">
      <c r="A73" s="55" t="str">
        <f t="shared" si="2"/>
        <v/>
      </c>
      <c r="J73" s="65" t="str">
        <f t="shared" si="3"/>
        <v/>
      </c>
    </row>
    <row r="74" spans="1:10">
      <c r="A74" s="55" t="str">
        <f t="shared" si="2"/>
        <v/>
      </c>
      <c r="J74" s="65" t="str">
        <f t="shared" si="3"/>
        <v/>
      </c>
    </row>
    <row r="75" spans="1:10">
      <c r="A75" s="55" t="str">
        <f t="shared" si="2"/>
        <v/>
      </c>
      <c r="J75" s="65" t="str">
        <f t="shared" si="3"/>
        <v/>
      </c>
    </row>
    <row r="76" spans="1:10">
      <c r="A76" s="55" t="str">
        <f t="shared" si="2"/>
        <v/>
      </c>
      <c r="J76" s="65" t="str">
        <f t="shared" si="3"/>
        <v/>
      </c>
    </row>
    <row r="77" spans="1:10">
      <c r="A77" s="55" t="str">
        <f t="shared" si="2"/>
        <v/>
      </c>
      <c r="J77" s="65" t="str">
        <f t="shared" si="3"/>
        <v/>
      </c>
    </row>
    <row r="78" spans="1:10">
      <c r="A78" s="55" t="str">
        <f t="shared" si="2"/>
        <v/>
      </c>
      <c r="J78" s="65" t="str">
        <f t="shared" si="3"/>
        <v/>
      </c>
    </row>
    <row r="79" spans="1:10">
      <c r="A79" s="55" t="str">
        <f t="shared" si="2"/>
        <v/>
      </c>
      <c r="J79" s="65" t="str">
        <f t="shared" si="3"/>
        <v/>
      </c>
    </row>
    <row r="80" spans="1:10">
      <c r="A80" s="55" t="str">
        <f t="shared" si="2"/>
        <v/>
      </c>
      <c r="J80" s="65" t="str">
        <f t="shared" si="3"/>
        <v/>
      </c>
    </row>
    <row r="81" spans="1:10">
      <c r="A81" s="55" t="str">
        <f t="shared" si="2"/>
        <v/>
      </c>
      <c r="J81" s="65" t="str">
        <f t="shared" si="3"/>
        <v/>
      </c>
    </row>
    <row r="82" spans="1:10">
      <c r="A82" s="55" t="str">
        <f t="shared" si="2"/>
        <v/>
      </c>
      <c r="J82" s="65" t="str">
        <f t="shared" si="3"/>
        <v/>
      </c>
    </row>
    <row r="83" spans="1:10">
      <c r="A83" s="55" t="str">
        <f t="shared" si="2"/>
        <v/>
      </c>
      <c r="J83" s="65" t="str">
        <f t="shared" si="3"/>
        <v/>
      </c>
    </row>
    <row r="84" spans="1:10">
      <c r="A84" s="55" t="str">
        <f t="shared" si="2"/>
        <v/>
      </c>
      <c r="J84" s="65" t="str">
        <f t="shared" si="3"/>
        <v/>
      </c>
    </row>
    <row r="85" spans="1:10">
      <c r="A85" s="55" t="str">
        <f t="shared" si="2"/>
        <v/>
      </c>
      <c r="J85" s="65" t="str">
        <f t="shared" si="3"/>
        <v/>
      </c>
    </row>
    <row r="86" spans="1:10">
      <c r="A86" s="55" t="str">
        <f t="shared" si="2"/>
        <v/>
      </c>
      <c r="J86" s="65" t="str">
        <f t="shared" si="3"/>
        <v/>
      </c>
    </row>
    <row r="87" spans="1:10">
      <c r="A87" s="55" t="str">
        <f t="shared" si="2"/>
        <v/>
      </c>
      <c r="J87" s="65" t="str">
        <f t="shared" si="3"/>
        <v/>
      </c>
    </row>
    <row r="88" spans="1:10">
      <c r="A88" s="55" t="str">
        <f t="shared" si="2"/>
        <v/>
      </c>
      <c r="J88" s="65" t="str">
        <f t="shared" si="3"/>
        <v/>
      </c>
    </row>
    <row r="89" spans="1:10">
      <c r="A89" s="55" t="str">
        <f t="shared" si="2"/>
        <v/>
      </c>
      <c r="J89" s="65" t="str">
        <f t="shared" si="3"/>
        <v/>
      </c>
    </row>
    <row r="90" spans="1:10">
      <c r="A90" s="55" t="str">
        <f t="shared" si="2"/>
        <v/>
      </c>
      <c r="J90" s="65" t="str">
        <f t="shared" si="3"/>
        <v/>
      </c>
    </row>
    <row r="91" spans="1:10">
      <c r="A91" s="55" t="str">
        <f t="shared" si="2"/>
        <v/>
      </c>
      <c r="J91" s="65" t="str">
        <f t="shared" si="3"/>
        <v/>
      </c>
    </row>
    <row r="92" spans="1:10">
      <c r="A92" s="55" t="str">
        <f t="shared" si="2"/>
        <v/>
      </c>
      <c r="J92" s="65" t="str">
        <f t="shared" si="3"/>
        <v/>
      </c>
    </row>
    <row r="93" spans="1:10">
      <c r="A93" s="55" t="str">
        <f t="shared" si="2"/>
        <v/>
      </c>
      <c r="J93" s="65" t="str">
        <f t="shared" si="3"/>
        <v/>
      </c>
    </row>
    <row r="94" spans="1:10">
      <c r="A94" s="55" t="str">
        <f t="shared" si="2"/>
        <v/>
      </c>
      <c r="J94" s="65" t="str">
        <f t="shared" si="3"/>
        <v/>
      </c>
    </row>
    <row r="95" spans="1:10">
      <c r="A95" s="55" t="str">
        <f t="shared" si="2"/>
        <v/>
      </c>
      <c r="J95" s="65" t="str">
        <f t="shared" si="3"/>
        <v/>
      </c>
    </row>
    <row r="96" spans="1:10">
      <c r="A96" s="55" t="str">
        <f t="shared" si="2"/>
        <v/>
      </c>
      <c r="J96" s="65" t="str">
        <f t="shared" si="3"/>
        <v/>
      </c>
    </row>
    <row r="97" spans="1:10">
      <c r="A97" s="55" t="str">
        <f t="shared" si="2"/>
        <v/>
      </c>
      <c r="J97" s="65" t="str">
        <f t="shared" si="3"/>
        <v/>
      </c>
    </row>
    <row r="98" spans="1:10">
      <c r="A98" s="55" t="str">
        <f t="shared" si="2"/>
        <v/>
      </c>
      <c r="J98" s="65" t="str">
        <f t="shared" si="3"/>
        <v/>
      </c>
    </row>
    <row r="99" spans="1:10">
      <c r="A99" s="55" t="str">
        <f t="shared" si="2"/>
        <v/>
      </c>
      <c r="J99" s="65" t="str">
        <f t="shared" si="3"/>
        <v/>
      </c>
    </row>
    <row r="100" spans="1:10">
      <c r="A100" s="55" t="str">
        <f t="shared" si="2"/>
        <v/>
      </c>
      <c r="J100" s="65" t="str">
        <f t="shared" si="3"/>
        <v/>
      </c>
    </row>
    <row r="101" spans="1:10">
      <c r="A101" s="55" t="str">
        <f t="shared" si="2"/>
        <v/>
      </c>
      <c r="J101" s="65" t="str">
        <f t="shared" si="3"/>
        <v/>
      </c>
    </row>
    <row r="102" spans="1:10">
      <c r="A102" s="55" t="str">
        <f t="shared" si="2"/>
        <v/>
      </c>
      <c r="J102" s="65" t="str">
        <f t="shared" si="3"/>
        <v/>
      </c>
    </row>
    <row r="103" spans="1:10">
      <c r="A103" s="55" t="str">
        <f t="shared" si="2"/>
        <v/>
      </c>
      <c r="J103" s="65" t="str">
        <f t="shared" si="3"/>
        <v/>
      </c>
    </row>
    <row r="104" spans="1:10">
      <c r="A104" s="55" t="str">
        <f t="shared" si="2"/>
        <v/>
      </c>
      <c r="J104" s="65" t="str">
        <f t="shared" si="3"/>
        <v/>
      </c>
    </row>
    <row r="105" spans="1:10">
      <c r="A105" s="55" t="str">
        <f t="shared" si="2"/>
        <v/>
      </c>
      <c r="J105" s="65" t="str">
        <f t="shared" si="3"/>
        <v/>
      </c>
    </row>
    <row r="106" spans="1:10">
      <c r="A106" s="55" t="str">
        <f t="shared" si="2"/>
        <v/>
      </c>
      <c r="J106" s="65" t="str">
        <f t="shared" si="3"/>
        <v/>
      </c>
    </row>
    <row r="107" spans="1:10">
      <c r="A107" s="55" t="str">
        <f t="shared" si="2"/>
        <v/>
      </c>
      <c r="J107" s="65" t="str">
        <f t="shared" si="3"/>
        <v/>
      </c>
    </row>
    <row r="108" spans="1:10">
      <c r="A108" s="55" t="str">
        <f t="shared" si="2"/>
        <v/>
      </c>
      <c r="J108" s="65" t="str">
        <f t="shared" si="3"/>
        <v/>
      </c>
    </row>
    <row r="109" spans="1:10">
      <c r="A109" s="55" t="str">
        <f t="shared" si="2"/>
        <v/>
      </c>
      <c r="J109" s="65" t="str">
        <f t="shared" si="3"/>
        <v/>
      </c>
    </row>
    <row r="110" spans="1:10">
      <c r="A110" s="55" t="str">
        <f t="shared" si="2"/>
        <v/>
      </c>
      <c r="J110" s="65" t="str">
        <f t="shared" si="3"/>
        <v/>
      </c>
    </row>
    <row r="111" spans="1:10">
      <c r="A111" s="55" t="str">
        <f t="shared" si="2"/>
        <v/>
      </c>
      <c r="J111" s="65" t="str">
        <f t="shared" si="3"/>
        <v/>
      </c>
    </row>
    <row r="112" spans="1:10">
      <c r="A112" s="55" t="str">
        <f t="shared" si="2"/>
        <v/>
      </c>
      <c r="J112" s="65" t="str">
        <f t="shared" si="3"/>
        <v/>
      </c>
    </row>
    <row r="113" spans="1:10">
      <c r="A113" s="55" t="str">
        <f t="shared" si="2"/>
        <v/>
      </c>
      <c r="J113" s="65" t="str">
        <f t="shared" si="3"/>
        <v/>
      </c>
    </row>
    <row r="114" spans="1:10">
      <c r="A114" s="55" t="str">
        <f t="shared" si="2"/>
        <v/>
      </c>
      <c r="J114" s="65" t="str">
        <f t="shared" si="3"/>
        <v/>
      </c>
    </row>
    <row r="115" spans="1:10">
      <c r="A115" s="55" t="str">
        <f t="shared" si="2"/>
        <v/>
      </c>
      <c r="J115" s="65" t="str">
        <f t="shared" si="3"/>
        <v/>
      </c>
    </row>
    <row r="116" spans="1:10">
      <c r="A116" s="55" t="str">
        <f t="shared" si="2"/>
        <v/>
      </c>
      <c r="J116" s="65" t="str">
        <f t="shared" si="3"/>
        <v/>
      </c>
    </row>
    <row r="117" spans="1:10">
      <c r="A117" s="55" t="str">
        <f t="shared" si="2"/>
        <v/>
      </c>
      <c r="J117" s="65" t="str">
        <f t="shared" si="3"/>
        <v/>
      </c>
    </row>
    <row r="118" spans="1:10">
      <c r="A118" s="55" t="str">
        <f t="shared" si="2"/>
        <v/>
      </c>
      <c r="J118" s="65" t="str">
        <f t="shared" si="3"/>
        <v/>
      </c>
    </row>
    <row r="119" spans="1:10">
      <c r="A119" s="55" t="str">
        <f t="shared" si="2"/>
        <v/>
      </c>
      <c r="J119" s="65" t="str">
        <f t="shared" si="3"/>
        <v/>
      </c>
    </row>
    <row r="120" spans="1:10">
      <c r="A120" s="55" t="str">
        <f t="shared" si="2"/>
        <v/>
      </c>
      <c r="J120" s="65" t="str">
        <f t="shared" si="3"/>
        <v/>
      </c>
    </row>
    <row r="121" spans="1:10">
      <c r="A121" s="55" t="str">
        <f t="shared" si="2"/>
        <v/>
      </c>
      <c r="J121" s="65" t="str">
        <f t="shared" si="3"/>
        <v/>
      </c>
    </row>
    <row r="122" spans="1:10">
      <c r="A122" s="55" t="str">
        <f t="shared" si="2"/>
        <v/>
      </c>
      <c r="J122" s="65" t="str">
        <f t="shared" si="3"/>
        <v/>
      </c>
    </row>
    <row r="123" spans="1:10">
      <c r="A123" s="55" t="str">
        <f t="shared" si="2"/>
        <v/>
      </c>
      <c r="J123" s="65" t="str">
        <f t="shared" si="3"/>
        <v/>
      </c>
    </row>
    <row r="124" spans="1:10">
      <c r="A124" s="55" t="str">
        <f t="shared" si="2"/>
        <v/>
      </c>
      <c r="J124" s="65" t="str">
        <f t="shared" si="3"/>
        <v/>
      </c>
    </row>
    <row r="125" spans="1:10">
      <c r="A125" s="55" t="str">
        <f t="shared" si="2"/>
        <v/>
      </c>
      <c r="J125" s="65" t="str">
        <f t="shared" si="3"/>
        <v/>
      </c>
    </row>
    <row r="126" spans="1:10">
      <c r="A126" s="55" t="str">
        <f t="shared" si="2"/>
        <v/>
      </c>
      <c r="J126" s="65" t="str">
        <f t="shared" si="3"/>
        <v/>
      </c>
    </row>
    <row r="127" spans="1:10">
      <c r="A127" s="55" t="str">
        <f t="shared" si="2"/>
        <v/>
      </c>
      <c r="J127" s="65" t="str">
        <f t="shared" si="3"/>
        <v/>
      </c>
    </row>
    <row r="128" spans="1:10">
      <c r="A128" s="55" t="str">
        <f t="shared" si="2"/>
        <v/>
      </c>
      <c r="J128" s="65" t="str">
        <f t="shared" si="3"/>
        <v/>
      </c>
    </row>
    <row r="129" spans="1:10">
      <c r="A129" s="55" t="str">
        <f t="shared" si="2"/>
        <v/>
      </c>
      <c r="J129" s="65" t="str">
        <f t="shared" si="3"/>
        <v/>
      </c>
    </row>
    <row r="130" spans="1:10">
      <c r="A130" s="55" t="str">
        <f t="shared" si="2"/>
        <v/>
      </c>
      <c r="J130" s="65" t="str">
        <f t="shared" si="3"/>
        <v/>
      </c>
    </row>
    <row r="131" spans="1:10">
      <c r="A131" s="55" t="str">
        <f t="shared" ref="A131:A194" si="4">IF(C131&lt;&gt;"",ROW(C131)-1,"")</f>
        <v/>
      </c>
      <c r="J131" s="65" t="str">
        <f t="shared" ref="J131:J194" si="5">IF(A131&lt;&gt;"",HYPERLINK("#"&amp;A131&amp;"!A1",D131),"")</f>
        <v/>
      </c>
    </row>
    <row r="132" spans="1:10">
      <c r="A132" s="55" t="str">
        <f t="shared" si="4"/>
        <v/>
      </c>
      <c r="J132" s="65" t="str">
        <f t="shared" si="5"/>
        <v/>
      </c>
    </row>
    <row r="133" spans="1:10">
      <c r="A133" s="55" t="str">
        <f t="shared" si="4"/>
        <v/>
      </c>
      <c r="J133" s="65" t="str">
        <f t="shared" si="5"/>
        <v/>
      </c>
    </row>
    <row r="134" spans="1:10">
      <c r="A134" s="55" t="str">
        <f t="shared" si="4"/>
        <v/>
      </c>
      <c r="J134" s="65" t="str">
        <f t="shared" si="5"/>
        <v/>
      </c>
    </row>
    <row r="135" spans="1:10">
      <c r="A135" s="55" t="str">
        <f t="shared" si="4"/>
        <v/>
      </c>
      <c r="J135" s="65" t="str">
        <f t="shared" si="5"/>
        <v/>
      </c>
    </row>
    <row r="136" spans="1:10">
      <c r="A136" s="55" t="str">
        <f t="shared" si="4"/>
        <v/>
      </c>
      <c r="J136" s="65" t="str">
        <f t="shared" si="5"/>
        <v/>
      </c>
    </row>
    <row r="137" spans="1:10">
      <c r="A137" s="55" t="str">
        <f t="shared" si="4"/>
        <v/>
      </c>
      <c r="J137" s="65" t="str">
        <f t="shared" si="5"/>
        <v/>
      </c>
    </row>
    <row r="138" spans="1:10">
      <c r="A138" s="55" t="str">
        <f t="shared" si="4"/>
        <v/>
      </c>
      <c r="J138" s="65" t="str">
        <f t="shared" si="5"/>
        <v/>
      </c>
    </row>
    <row r="139" spans="1:10">
      <c r="A139" s="55" t="str">
        <f t="shared" si="4"/>
        <v/>
      </c>
      <c r="J139" s="65" t="str">
        <f t="shared" si="5"/>
        <v/>
      </c>
    </row>
    <row r="140" spans="1:10">
      <c r="A140" s="55" t="str">
        <f t="shared" si="4"/>
        <v/>
      </c>
      <c r="J140" s="65" t="str">
        <f t="shared" si="5"/>
        <v/>
      </c>
    </row>
    <row r="141" spans="1:10">
      <c r="A141" s="55" t="str">
        <f t="shared" si="4"/>
        <v/>
      </c>
      <c r="J141" s="65" t="str">
        <f t="shared" si="5"/>
        <v/>
      </c>
    </row>
    <row r="142" spans="1:10">
      <c r="A142" s="55" t="str">
        <f t="shared" si="4"/>
        <v/>
      </c>
      <c r="J142" s="65" t="str">
        <f t="shared" si="5"/>
        <v/>
      </c>
    </row>
    <row r="143" spans="1:10">
      <c r="A143" s="55" t="str">
        <f t="shared" si="4"/>
        <v/>
      </c>
      <c r="J143" s="65" t="str">
        <f t="shared" si="5"/>
        <v/>
      </c>
    </row>
    <row r="144" spans="1:10">
      <c r="A144" s="55" t="str">
        <f t="shared" si="4"/>
        <v/>
      </c>
      <c r="J144" s="65" t="str">
        <f t="shared" si="5"/>
        <v/>
      </c>
    </row>
    <row r="145" spans="1:10">
      <c r="A145" s="55" t="str">
        <f t="shared" si="4"/>
        <v/>
      </c>
      <c r="J145" s="65" t="str">
        <f t="shared" si="5"/>
        <v/>
      </c>
    </row>
    <row r="146" spans="1:10">
      <c r="A146" s="55" t="str">
        <f t="shared" si="4"/>
        <v/>
      </c>
      <c r="J146" s="65" t="str">
        <f t="shared" si="5"/>
        <v/>
      </c>
    </row>
    <row r="147" spans="1:10">
      <c r="A147" s="55" t="str">
        <f t="shared" si="4"/>
        <v/>
      </c>
      <c r="J147" s="65" t="str">
        <f t="shared" si="5"/>
        <v/>
      </c>
    </row>
    <row r="148" spans="1:10">
      <c r="A148" s="55" t="str">
        <f t="shared" si="4"/>
        <v/>
      </c>
      <c r="J148" s="65" t="str">
        <f t="shared" si="5"/>
        <v/>
      </c>
    </row>
    <row r="149" spans="1:10">
      <c r="A149" s="55" t="str">
        <f t="shared" si="4"/>
        <v/>
      </c>
      <c r="J149" s="65" t="str">
        <f t="shared" si="5"/>
        <v/>
      </c>
    </row>
    <row r="150" spans="1:10">
      <c r="A150" s="55" t="str">
        <f t="shared" si="4"/>
        <v/>
      </c>
      <c r="J150" s="65" t="str">
        <f t="shared" si="5"/>
        <v/>
      </c>
    </row>
    <row r="151" spans="1:10">
      <c r="A151" s="55" t="str">
        <f t="shared" si="4"/>
        <v/>
      </c>
      <c r="J151" s="65" t="str">
        <f t="shared" si="5"/>
        <v/>
      </c>
    </row>
    <row r="152" spans="1:10">
      <c r="A152" s="55" t="str">
        <f t="shared" si="4"/>
        <v/>
      </c>
      <c r="J152" s="65" t="str">
        <f t="shared" si="5"/>
        <v/>
      </c>
    </row>
    <row r="153" spans="1:10">
      <c r="A153" s="55" t="str">
        <f t="shared" si="4"/>
        <v/>
      </c>
      <c r="J153" s="65" t="str">
        <f t="shared" si="5"/>
        <v/>
      </c>
    </row>
    <row r="154" spans="1:10">
      <c r="A154" s="55" t="str">
        <f t="shared" si="4"/>
        <v/>
      </c>
      <c r="J154" s="65" t="str">
        <f t="shared" si="5"/>
        <v/>
      </c>
    </row>
    <row r="155" spans="1:10">
      <c r="A155" s="55" t="str">
        <f t="shared" si="4"/>
        <v/>
      </c>
      <c r="J155" s="65" t="str">
        <f t="shared" si="5"/>
        <v/>
      </c>
    </row>
    <row r="156" spans="1:10">
      <c r="A156" s="55" t="str">
        <f t="shared" si="4"/>
        <v/>
      </c>
      <c r="J156" s="65" t="str">
        <f t="shared" si="5"/>
        <v/>
      </c>
    </row>
    <row r="157" spans="1:10">
      <c r="A157" s="55" t="str">
        <f t="shared" si="4"/>
        <v/>
      </c>
      <c r="J157" s="65" t="str">
        <f t="shared" si="5"/>
        <v/>
      </c>
    </row>
    <row r="158" spans="1:10">
      <c r="A158" s="55" t="str">
        <f t="shared" si="4"/>
        <v/>
      </c>
      <c r="J158" s="65" t="str">
        <f t="shared" si="5"/>
        <v/>
      </c>
    </row>
    <row r="159" spans="1:10">
      <c r="A159" s="55" t="str">
        <f t="shared" si="4"/>
        <v/>
      </c>
      <c r="J159" s="65" t="str">
        <f t="shared" si="5"/>
        <v/>
      </c>
    </row>
    <row r="160" spans="1:10">
      <c r="A160" s="55" t="str">
        <f t="shared" si="4"/>
        <v/>
      </c>
      <c r="J160" s="65" t="str">
        <f t="shared" si="5"/>
        <v/>
      </c>
    </row>
    <row r="161" spans="1:10">
      <c r="A161" s="55" t="str">
        <f t="shared" si="4"/>
        <v/>
      </c>
      <c r="J161" s="65" t="str">
        <f t="shared" si="5"/>
        <v/>
      </c>
    </row>
    <row r="162" spans="1:10">
      <c r="A162" s="55" t="str">
        <f t="shared" si="4"/>
        <v/>
      </c>
      <c r="J162" s="65" t="str">
        <f t="shared" si="5"/>
        <v/>
      </c>
    </row>
    <row r="163" spans="1:10">
      <c r="A163" s="55" t="str">
        <f t="shared" si="4"/>
        <v/>
      </c>
      <c r="J163" s="65" t="str">
        <f t="shared" si="5"/>
        <v/>
      </c>
    </row>
    <row r="164" spans="1:10">
      <c r="A164" s="55" t="str">
        <f t="shared" si="4"/>
        <v/>
      </c>
      <c r="J164" s="65" t="str">
        <f t="shared" si="5"/>
        <v/>
      </c>
    </row>
    <row r="165" spans="1:10">
      <c r="A165" s="55" t="str">
        <f t="shared" si="4"/>
        <v/>
      </c>
      <c r="J165" s="65" t="str">
        <f t="shared" si="5"/>
        <v/>
      </c>
    </row>
    <row r="166" spans="1:10">
      <c r="A166" s="55" t="str">
        <f t="shared" si="4"/>
        <v/>
      </c>
      <c r="J166" s="65" t="str">
        <f t="shared" si="5"/>
        <v/>
      </c>
    </row>
    <row r="167" spans="1:10">
      <c r="A167" s="55" t="str">
        <f t="shared" si="4"/>
        <v/>
      </c>
      <c r="J167" s="65" t="str">
        <f t="shared" si="5"/>
        <v/>
      </c>
    </row>
    <row r="168" spans="1:10">
      <c r="A168" s="55" t="str">
        <f t="shared" si="4"/>
        <v/>
      </c>
      <c r="J168" s="65" t="str">
        <f t="shared" si="5"/>
        <v/>
      </c>
    </row>
    <row r="169" spans="1:10">
      <c r="A169" s="55" t="str">
        <f t="shared" si="4"/>
        <v/>
      </c>
      <c r="J169" s="65" t="str">
        <f t="shared" si="5"/>
        <v/>
      </c>
    </row>
    <row r="170" spans="1:10">
      <c r="A170" s="55" t="str">
        <f t="shared" si="4"/>
        <v/>
      </c>
      <c r="J170" s="65" t="str">
        <f t="shared" si="5"/>
        <v/>
      </c>
    </row>
    <row r="171" spans="1:10">
      <c r="A171" s="55" t="str">
        <f t="shared" si="4"/>
        <v/>
      </c>
      <c r="J171" s="65" t="str">
        <f t="shared" si="5"/>
        <v/>
      </c>
    </row>
    <row r="172" spans="1:10">
      <c r="A172" s="55" t="str">
        <f t="shared" si="4"/>
        <v/>
      </c>
      <c r="J172" s="65" t="str">
        <f t="shared" si="5"/>
        <v/>
      </c>
    </row>
    <row r="173" spans="1:10">
      <c r="A173" s="55" t="str">
        <f t="shared" si="4"/>
        <v/>
      </c>
      <c r="J173" s="65" t="str">
        <f t="shared" si="5"/>
        <v/>
      </c>
    </row>
    <row r="174" spans="1:10">
      <c r="A174" s="55" t="str">
        <f t="shared" si="4"/>
        <v/>
      </c>
      <c r="J174" s="65" t="str">
        <f t="shared" si="5"/>
        <v/>
      </c>
    </row>
    <row r="175" spans="1:10">
      <c r="A175" s="55" t="str">
        <f t="shared" si="4"/>
        <v/>
      </c>
      <c r="J175" s="65" t="str">
        <f t="shared" si="5"/>
        <v/>
      </c>
    </row>
    <row r="176" spans="1:10">
      <c r="A176" s="55" t="str">
        <f t="shared" si="4"/>
        <v/>
      </c>
      <c r="J176" s="65" t="str">
        <f t="shared" si="5"/>
        <v/>
      </c>
    </row>
    <row r="177" spans="1:10">
      <c r="A177" s="55" t="str">
        <f t="shared" si="4"/>
        <v/>
      </c>
      <c r="J177" s="65" t="str">
        <f t="shared" si="5"/>
        <v/>
      </c>
    </row>
    <row r="178" spans="1:10">
      <c r="A178" s="55" t="str">
        <f t="shared" si="4"/>
        <v/>
      </c>
      <c r="J178" s="65" t="str">
        <f t="shared" si="5"/>
        <v/>
      </c>
    </row>
    <row r="179" spans="1:10">
      <c r="A179" s="55" t="str">
        <f t="shared" si="4"/>
        <v/>
      </c>
      <c r="J179" s="65" t="str">
        <f t="shared" si="5"/>
        <v/>
      </c>
    </row>
    <row r="180" spans="1:10">
      <c r="A180" s="55" t="str">
        <f t="shared" si="4"/>
        <v/>
      </c>
      <c r="J180" s="65" t="str">
        <f t="shared" si="5"/>
        <v/>
      </c>
    </row>
    <row r="181" spans="1:10">
      <c r="A181" s="55" t="str">
        <f t="shared" si="4"/>
        <v/>
      </c>
      <c r="J181" s="65" t="str">
        <f t="shared" si="5"/>
        <v/>
      </c>
    </row>
    <row r="182" spans="1:10">
      <c r="A182" s="55" t="str">
        <f t="shared" si="4"/>
        <v/>
      </c>
      <c r="J182" s="65" t="str">
        <f t="shared" si="5"/>
        <v/>
      </c>
    </row>
    <row r="183" spans="1:10">
      <c r="A183" s="55" t="str">
        <f t="shared" si="4"/>
        <v/>
      </c>
      <c r="J183" s="65" t="str">
        <f t="shared" si="5"/>
        <v/>
      </c>
    </row>
    <row r="184" spans="1:10">
      <c r="A184" s="55" t="str">
        <f t="shared" si="4"/>
        <v/>
      </c>
      <c r="J184" s="65" t="str">
        <f t="shared" si="5"/>
        <v/>
      </c>
    </row>
    <row r="185" spans="1:10">
      <c r="A185" s="55" t="str">
        <f t="shared" si="4"/>
        <v/>
      </c>
      <c r="J185" s="65" t="str">
        <f t="shared" si="5"/>
        <v/>
      </c>
    </row>
    <row r="186" spans="1:10">
      <c r="A186" s="55" t="str">
        <f t="shared" si="4"/>
        <v/>
      </c>
      <c r="J186" s="65" t="str">
        <f t="shared" si="5"/>
        <v/>
      </c>
    </row>
    <row r="187" spans="1:10">
      <c r="A187" s="55" t="str">
        <f t="shared" si="4"/>
        <v/>
      </c>
      <c r="J187" s="65" t="str">
        <f t="shared" si="5"/>
        <v/>
      </c>
    </row>
    <row r="188" spans="1:10">
      <c r="A188" s="55" t="str">
        <f t="shared" si="4"/>
        <v/>
      </c>
      <c r="J188" s="65" t="str">
        <f t="shared" si="5"/>
        <v/>
      </c>
    </row>
    <row r="189" spans="1:10">
      <c r="A189" s="55" t="str">
        <f t="shared" si="4"/>
        <v/>
      </c>
      <c r="J189" s="65" t="str">
        <f t="shared" si="5"/>
        <v/>
      </c>
    </row>
    <row r="190" spans="1:10">
      <c r="A190" s="55" t="str">
        <f t="shared" si="4"/>
        <v/>
      </c>
      <c r="J190" s="65" t="str">
        <f t="shared" si="5"/>
        <v/>
      </c>
    </row>
    <row r="191" spans="1:10">
      <c r="A191" s="55" t="str">
        <f t="shared" si="4"/>
        <v/>
      </c>
      <c r="J191" s="65" t="str">
        <f t="shared" si="5"/>
        <v/>
      </c>
    </row>
    <row r="192" spans="1:10">
      <c r="A192" s="55" t="str">
        <f t="shared" si="4"/>
        <v/>
      </c>
      <c r="J192" s="65" t="str">
        <f t="shared" si="5"/>
        <v/>
      </c>
    </row>
    <row r="193" spans="1:10">
      <c r="A193" s="55" t="str">
        <f t="shared" si="4"/>
        <v/>
      </c>
      <c r="J193" s="65" t="str">
        <f t="shared" si="5"/>
        <v/>
      </c>
    </row>
    <row r="194" spans="1:10">
      <c r="A194" s="55" t="str">
        <f t="shared" si="4"/>
        <v/>
      </c>
      <c r="J194" s="65" t="str">
        <f t="shared" si="5"/>
        <v/>
      </c>
    </row>
    <row r="195" spans="1:10">
      <c r="A195" s="55" t="str">
        <f t="shared" ref="A195:A258" si="6">IF(C195&lt;&gt;"",ROW(C195)-1,"")</f>
        <v/>
      </c>
      <c r="J195" s="65" t="str">
        <f t="shared" ref="J195:J258" si="7">IF(A195&lt;&gt;"",HYPERLINK("#"&amp;A195&amp;"!A1",D195),"")</f>
        <v/>
      </c>
    </row>
    <row r="196" spans="1:10">
      <c r="A196" s="55" t="str">
        <f t="shared" si="6"/>
        <v/>
      </c>
      <c r="J196" s="65" t="str">
        <f t="shared" si="7"/>
        <v/>
      </c>
    </row>
    <row r="197" spans="1:10">
      <c r="A197" s="55" t="str">
        <f t="shared" si="6"/>
        <v/>
      </c>
      <c r="J197" s="65" t="str">
        <f t="shared" si="7"/>
        <v/>
      </c>
    </row>
    <row r="198" spans="1:10">
      <c r="A198" s="55" t="str">
        <f t="shared" si="6"/>
        <v/>
      </c>
      <c r="J198" s="65" t="str">
        <f t="shared" si="7"/>
        <v/>
      </c>
    </row>
    <row r="199" spans="1:10">
      <c r="A199" s="55" t="str">
        <f t="shared" si="6"/>
        <v/>
      </c>
      <c r="J199" s="65" t="str">
        <f t="shared" si="7"/>
        <v/>
      </c>
    </row>
    <row r="200" spans="1:10">
      <c r="A200" s="55" t="str">
        <f t="shared" si="6"/>
        <v/>
      </c>
      <c r="J200" s="65" t="str">
        <f t="shared" si="7"/>
        <v/>
      </c>
    </row>
    <row r="201" spans="1:10">
      <c r="A201" s="55" t="str">
        <f t="shared" si="6"/>
        <v/>
      </c>
      <c r="J201" s="65" t="str">
        <f t="shared" si="7"/>
        <v/>
      </c>
    </row>
    <row r="202" spans="1:10">
      <c r="A202" s="55" t="str">
        <f t="shared" si="6"/>
        <v/>
      </c>
      <c r="J202" s="65" t="str">
        <f t="shared" si="7"/>
        <v/>
      </c>
    </row>
    <row r="203" spans="1:10">
      <c r="A203" s="55" t="str">
        <f t="shared" si="6"/>
        <v/>
      </c>
      <c r="J203" s="65" t="str">
        <f t="shared" si="7"/>
        <v/>
      </c>
    </row>
    <row r="204" spans="1:10">
      <c r="A204" s="55" t="str">
        <f t="shared" si="6"/>
        <v/>
      </c>
      <c r="J204" s="65" t="str">
        <f t="shared" si="7"/>
        <v/>
      </c>
    </row>
    <row r="205" spans="1:10">
      <c r="A205" s="55" t="str">
        <f t="shared" si="6"/>
        <v/>
      </c>
      <c r="J205" s="65" t="str">
        <f t="shared" si="7"/>
        <v/>
      </c>
    </row>
    <row r="206" spans="1:10">
      <c r="A206" s="55" t="str">
        <f t="shared" si="6"/>
        <v/>
      </c>
      <c r="J206" s="65" t="str">
        <f t="shared" si="7"/>
        <v/>
      </c>
    </row>
    <row r="207" spans="1:10">
      <c r="A207" s="55" t="str">
        <f t="shared" si="6"/>
        <v/>
      </c>
      <c r="J207" s="65" t="str">
        <f t="shared" si="7"/>
        <v/>
      </c>
    </row>
    <row r="208" spans="1:10">
      <c r="A208" s="55" t="str">
        <f t="shared" si="6"/>
        <v/>
      </c>
      <c r="J208" s="65" t="str">
        <f t="shared" si="7"/>
        <v/>
      </c>
    </row>
    <row r="209" spans="1:10">
      <c r="A209" s="55" t="str">
        <f t="shared" si="6"/>
        <v/>
      </c>
      <c r="J209" s="65" t="str">
        <f t="shared" si="7"/>
        <v/>
      </c>
    </row>
    <row r="210" spans="1:10">
      <c r="A210" s="55" t="str">
        <f t="shared" si="6"/>
        <v/>
      </c>
      <c r="J210" s="65" t="str">
        <f t="shared" si="7"/>
        <v/>
      </c>
    </row>
    <row r="211" spans="1:10">
      <c r="A211" s="55" t="str">
        <f t="shared" si="6"/>
        <v/>
      </c>
      <c r="J211" s="65" t="str">
        <f t="shared" si="7"/>
        <v/>
      </c>
    </row>
    <row r="212" spans="1:10">
      <c r="A212" s="55" t="str">
        <f t="shared" si="6"/>
        <v/>
      </c>
      <c r="J212" s="65" t="str">
        <f t="shared" si="7"/>
        <v/>
      </c>
    </row>
    <row r="213" spans="1:10">
      <c r="A213" s="55" t="str">
        <f t="shared" si="6"/>
        <v/>
      </c>
      <c r="J213" s="65" t="str">
        <f t="shared" si="7"/>
        <v/>
      </c>
    </row>
    <row r="214" spans="1:10">
      <c r="A214" s="55" t="str">
        <f t="shared" si="6"/>
        <v/>
      </c>
      <c r="J214" s="65" t="str">
        <f t="shared" si="7"/>
        <v/>
      </c>
    </row>
    <row r="215" spans="1:10">
      <c r="A215" s="55" t="str">
        <f t="shared" si="6"/>
        <v/>
      </c>
      <c r="J215" s="65" t="str">
        <f t="shared" si="7"/>
        <v/>
      </c>
    </row>
    <row r="216" spans="1:10">
      <c r="A216" s="55" t="str">
        <f t="shared" si="6"/>
        <v/>
      </c>
      <c r="J216" s="65" t="str">
        <f t="shared" si="7"/>
        <v/>
      </c>
    </row>
    <row r="217" spans="1:10">
      <c r="A217" s="55" t="str">
        <f t="shared" si="6"/>
        <v/>
      </c>
      <c r="J217" s="65" t="str">
        <f t="shared" si="7"/>
        <v/>
      </c>
    </row>
    <row r="218" spans="1:10">
      <c r="A218" s="55" t="str">
        <f t="shared" si="6"/>
        <v/>
      </c>
      <c r="J218" s="65" t="str">
        <f t="shared" si="7"/>
        <v/>
      </c>
    </row>
    <row r="219" spans="1:10">
      <c r="A219" s="55" t="str">
        <f t="shared" si="6"/>
        <v/>
      </c>
      <c r="J219" s="65" t="str">
        <f t="shared" si="7"/>
        <v/>
      </c>
    </row>
    <row r="220" spans="1:10">
      <c r="A220" s="55" t="str">
        <f t="shared" si="6"/>
        <v/>
      </c>
      <c r="J220" s="65" t="str">
        <f t="shared" si="7"/>
        <v/>
      </c>
    </row>
    <row r="221" spans="1:10">
      <c r="A221" s="55" t="str">
        <f t="shared" si="6"/>
        <v/>
      </c>
      <c r="J221" s="65" t="str">
        <f t="shared" si="7"/>
        <v/>
      </c>
    </row>
    <row r="222" spans="1:10">
      <c r="A222" s="55" t="str">
        <f t="shared" si="6"/>
        <v/>
      </c>
      <c r="J222" s="65" t="str">
        <f t="shared" si="7"/>
        <v/>
      </c>
    </row>
    <row r="223" spans="1:10">
      <c r="A223" s="55" t="str">
        <f t="shared" si="6"/>
        <v/>
      </c>
      <c r="J223" s="65" t="str">
        <f t="shared" si="7"/>
        <v/>
      </c>
    </row>
    <row r="224" spans="1:10">
      <c r="A224" s="55" t="str">
        <f t="shared" si="6"/>
        <v/>
      </c>
      <c r="J224" s="65" t="str">
        <f t="shared" si="7"/>
        <v/>
      </c>
    </row>
    <row r="225" spans="1:10">
      <c r="A225" s="55" t="str">
        <f t="shared" si="6"/>
        <v/>
      </c>
      <c r="J225" s="65" t="str">
        <f t="shared" si="7"/>
        <v/>
      </c>
    </row>
    <row r="226" spans="1:10">
      <c r="A226" s="55" t="str">
        <f t="shared" si="6"/>
        <v/>
      </c>
      <c r="J226" s="65" t="str">
        <f t="shared" si="7"/>
        <v/>
      </c>
    </row>
    <row r="227" spans="1:10">
      <c r="A227" s="55" t="str">
        <f t="shared" si="6"/>
        <v/>
      </c>
      <c r="J227" s="65" t="str">
        <f t="shared" si="7"/>
        <v/>
      </c>
    </row>
    <row r="228" spans="1:10">
      <c r="A228" s="55" t="str">
        <f t="shared" si="6"/>
        <v/>
      </c>
      <c r="J228" s="65" t="str">
        <f t="shared" si="7"/>
        <v/>
      </c>
    </row>
    <row r="229" spans="1:10">
      <c r="A229" s="55" t="str">
        <f t="shared" si="6"/>
        <v/>
      </c>
      <c r="J229" s="65" t="str">
        <f t="shared" si="7"/>
        <v/>
      </c>
    </row>
    <row r="230" spans="1:10">
      <c r="A230" s="55" t="str">
        <f t="shared" si="6"/>
        <v/>
      </c>
      <c r="J230" s="65" t="str">
        <f t="shared" si="7"/>
        <v/>
      </c>
    </row>
    <row r="231" spans="1:10">
      <c r="A231" s="55" t="str">
        <f t="shared" si="6"/>
        <v/>
      </c>
      <c r="J231" s="65" t="str">
        <f t="shared" si="7"/>
        <v/>
      </c>
    </row>
    <row r="232" spans="1:10">
      <c r="A232" s="55" t="str">
        <f t="shared" si="6"/>
        <v/>
      </c>
      <c r="J232" s="65" t="str">
        <f t="shared" si="7"/>
        <v/>
      </c>
    </row>
    <row r="233" spans="1:10">
      <c r="A233" s="55" t="str">
        <f t="shared" si="6"/>
        <v/>
      </c>
      <c r="J233" s="65" t="str">
        <f t="shared" si="7"/>
        <v/>
      </c>
    </row>
    <row r="234" spans="1:10">
      <c r="A234" s="55" t="str">
        <f t="shared" si="6"/>
        <v/>
      </c>
      <c r="J234" s="65" t="str">
        <f t="shared" si="7"/>
        <v/>
      </c>
    </row>
    <row r="235" spans="1:10">
      <c r="A235" s="55" t="str">
        <f t="shared" si="6"/>
        <v/>
      </c>
      <c r="J235" s="65" t="str">
        <f t="shared" si="7"/>
        <v/>
      </c>
    </row>
    <row r="236" spans="1:10">
      <c r="A236" s="55" t="str">
        <f t="shared" si="6"/>
        <v/>
      </c>
      <c r="J236" s="65" t="str">
        <f t="shared" si="7"/>
        <v/>
      </c>
    </row>
    <row r="237" spans="1:10">
      <c r="A237" s="55" t="str">
        <f t="shared" si="6"/>
        <v/>
      </c>
      <c r="J237" s="65" t="str">
        <f t="shared" si="7"/>
        <v/>
      </c>
    </row>
    <row r="238" spans="1:10">
      <c r="A238" s="55" t="str">
        <f t="shared" si="6"/>
        <v/>
      </c>
      <c r="J238" s="65" t="str">
        <f t="shared" si="7"/>
        <v/>
      </c>
    </row>
    <row r="239" spans="1:10">
      <c r="A239" s="55" t="str">
        <f t="shared" si="6"/>
        <v/>
      </c>
      <c r="J239" s="65" t="str">
        <f t="shared" si="7"/>
        <v/>
      </c>
    </row>
    <row r="240" spans="1:10">
      <c r="A240" s="55" t="str">
        <f t="shared" si="6"/>
        <v/>
      </c>
      <c r="J240" s="65" t="str">
        <f t="shared" si="7"/>
        <v/>
      </c>
    </row>
    <row r="241" spans="1:10">
      <c r="A241" s="55" t="str">
        <f t="shared" si="6"/>
        <v/>
      </c>
      <c r="J241" s="65" t="str">
        <f t="shared" si="7"/>
        <v/>
      </c>
    </row>
    <row r="242" spans="1:10">
      <c r="A242" s="55" t="str">
        <f t="shared" si="6"/>
        <v/>
      </c>
      <c r="J242" s="65" t="str">
        <f t="shared" si="7"/>
        <v/>
      </c>
    </row>
    <row r="243" spans="1:10">
      <c r="A243" s="55" t="str">
        <f t="shared" si="6"/>
        <v/>
      </c>
      <c r="J243" s="65" t="str">
        <f t="shared" si="7"/>
        <v/>
      </c>
    </row>
    <row r="244" spans="1:10">
      <c r="A244" s="55" t="str">
        <f t="shared" si="6"/>
        <v/>
      </c>
      <c r="J244" s="65" t="str">
        <f t="shared" si="7"/>
        <v/>
      </c>
    </row>
    <row r="245" spans="1:10">
      <c r="A245" s="55" t="str">
        <f t="shared" si="6"/>
        <v/>
      </c>
      <c r="J245" s="65" t="str">
        <f t="shared" si="7"/>
        <v/>
      </c>
    </row>
    <row r="246" spans="1:10">
      <c r="A246" s="55" t="str">
        <f t="shared" si="6"/>
        <v/>
      </c>
      <c r="J246" s="65" t="str">
        <f t="shared" si="7"/>
        <v/>
      </c>
    </row>
    <row r="247" spans="1:10">
      <c r="A247" s="55" t="str">
        <f t="shared" si="6"/>
        <v/>
      </c>
      <c r="J247" s="65" t="str">
        <f t="shared" si="7"/>
        <v/>
      </c>
    </row>
    <row r="248" spans="1:10">
      <c r="A248" s="55" t="str">
        <f t="shared" si="6"/>
        <v/>
      </c>
      <c r="J248" s="65" t="str">
        <f t="shared" si="7"/>
        <v/>
      </c>
    </row>
    <row r="249" spans="1:10">
      <c r="A249" s="55" t="str">
        <f t="shared" si="6"/>
        <v/>
      </c>
      <c r="J249" s="65" t="str">
        <f t="shared" si="7"/>
        <v/>
      </c>
    </row>
    <row r="250" spans="1:10">
      <c r="A250" s="55" t="str">
        <f t="shared" si="6"/>
        <v/>
      </c>
      <c r="J250" s="65" t="str">
        <f t="shared" si="7"/>
        <v/>
      </c>
    </row>
    <row r="251" spans="1:10">
      <c r="A251" s="55" t="str">
        <f t="shared" si="6"/>
        <v/>
      </c>
      <c r="J251" s="65" t="str">
        <f t="shared" si="7"/>
        <v/>
      </c>
    </row>
    <row r="252" spans="1:10">
      <c r="A252" s="55" t="str">
        <f t="shared" si="6"/>
        <v/>
      </c>
      <c r="J252" s="65" t="str">
        <f t="shared" si="7"/>
        <v/>
      </c>
    </row>
    <row r="253" spans="1:10">
      <c r="A253" s="55" t="str">
        <f t="shared" si="6"/>
        <v/>
      </c>
      <c r="J253" s="65" t="str">
        <f t="shared" si="7"/>
        <v/>
      </c>
    </row>
    <row r="254" spans="1:10">
      <c r="A254" s="55" t="str">
        <f t="shared" si="6"/>
        <v/>
      </c>
      <c r="J254" s="65" t="str">
        <f t="shared" si="7"/>
        <v/>
      </c>
    </row>
    <row r="255" spans="1:10">
      <c r="A255" s="55" t="str">
        <f t="shared" si="6"/>
        <v/>
      </c>
      <c r="J255" s="65" t="str">
        <f t="shared" si="7"/>
        <v/>
      </c>
    </row>
    <row r="256" spans="1:10">
      <c r="A256" s="55" t="str">
        <f t="shared" si="6"/>
        <v/>
      </c>
      <c r="J256" s="65" t="str">
        <f t="shared" si="7"/>
        <v/>
      </c>
    </row>
    <row r="257" spans="1:10">
      <c r="A257" s="55" t="str">
        <f t="shared" si="6"/>
        <v/>
      </c>
      <c r="J257" s="65" t="str">
        <f t="shared" si="7"/>
        <v/>
      </c>
    </row>
    <row r="258" spans="1:10">
      <c r="A258" s="55" t="str">
        <f t="shared" si="6"/>
        <v/>
      </c>
      <c r="J258" s="65" t="str">
        <f t="shared" si="7"/>
        <v/>
      </c>
    </row>
    <row r="259" spans="1:10">
      <c r="A259" s="55" t="str">
        <f t="shared" ref="A259:A322" si="8">IF(C259&lt;&gt;"",ROW(C259)-1,"")</f>
        <v/>
      </c>
      <c r="J259" s="65" t="str">
        <f t="shared" ref="J259:J322" si="9">IF(A259&lt;&gt;"",HYPERLINK("#"&amp;A259&amp;"!A1",D259),"")</f>
        <v/>
      </c>
    </row>
    <row r="260" spans="1:10">
      <c r="A260" s="55" t="str">
        <f t="shared" si="8"/>
        <v/>
      </c>
      <c r="J260" s="65" t="str">
        <f t="shared" si="9"/>
        <v/>
      </c>
    </row>
    <row r="261" spans="1:10">
      <c r="A261" s="55" t="str">
        <f t="shared" si="8"/>
        <v/>
      </c>
      <c r="J261" s="65" t="str">
        <f t="shared" si="9"/>
        <v/>
      </c>
    </row>
    <row r="262" spans="1:10">
      <c r="A262" s="55" t="str">
        <f t="shared" si="8"/>
        <v/>
      </c>
      <c r="J262" s="65" t="str">
        <f t="shared" si="9"/>
        <v/>
      </c>
    </row>
    <row r="263" spans="1:10">
      <c r="A263" s="55" t="str">
        <f t="shared" si="8"/>
        <v/>
      </c>
      <c r="J263" s="65" t="str">
        <f t="shared" si="9"/>
        <v/>
      </c>
    </row>
    <row r="264" spans="1:10">
      <c r="A264" s="55" t="str">
        <f t="shared" si="8"/>
        <v/>
      </c>
      <c r="J264" s="65" t="str">
        <f t="shared" si="9"/>
        <v/>
      </c>
    </row>
    <row r="265" spans="1:10">
      <c r="A265" s="55" t="str">
        <f t="shared" si="8"/>
        <v/>
      </c>
      <c r="J265" s="65" t="str">
        <f t="shared" si="9"/>
        <v/>
      </c>
    </row>
    <row r="266" spans="1:10">
      <c r="A266" s="55" t="str">
        <f t="shared" si="8"/>
        <v/>
      </c>
      <c r="J266" s="65" t="str">
        <f t="shared" si="9"/>
        <v/>
      </c>
    </row>
    <row r="267" spans="1:10">
      <c r="A267" s="55" t="str">
        <f t="shared" si="8"/>
        <v/>
      </c>
      <c r="J267" s="65" t="str">
        <f t="shared" si="9"/>
        <v/>
      </c>
    </row>
    <row r="268" spans="1:10">
      <c r="A268" s="55" t="str">
        <f t="shared" si="8"/>
        <v/>
      </c>
      <c r="J268" s="65" t="str">
        <f t="shared" si="9"/>
        <v/>
      </c>
    </row>
    <row r="269" spans="1:10">
      <c r="A269" s="55" t="str">
        <f t="shared" si="8"/>
        <v/>
      </c>
      <c r="J269" s="65" t="str">
        <f t="shared" si="9"/>
        <v/>
      </c>
    </row>
    <row r="270" spans="1:10">
      <c r="A270" s="55" t="str">
        <f t="shared" si="8"/>
        <v/>
      </c>
      <c r="J270" s="65" t="str">
        <f t="shared" si="9"/>
        <v/>
      </c>
    </row>
    <row r="271" spans="1:10">
      <c r="A271" s="55" t="str">
        <f t="shared" si="8"/>
        <v/>
      </c>
      <c r="J271" s="65" t="str">
        <f t="shared" si="9"/>
        <v/>
      </c>
    </row>
    <row r="272" spans="1:10">
      <c r="A272" s="55" t="str">
        <f t="shared" si="8"/>
        <v/>
      </c>
      <c r="J272" s="65" t="str">
        <f t="shared" si="9"/>
        <v/>
      </c>
    </row>
    <row r="273" spans="1:10">
      <c r="A273" s="55" t="str">
        <f t="shared" si="8"/>
        <v/>
      </c>
      <c r="J273" s="65" t="str">
        <f t="shared" si="9"/>
        <v/>
      </c>
    </row>
    <row r="274" spans="1:10">
      <c r="A274" s="55" t="str">
        <f t="shared" si="8"/>
        <v/>
      </c>
      <c r="J274" s="65" t="str">
        <f t="shared" si="9"/>
        <v/>
      </c>
    </row>
    <row r="275" spans="1:10">
      <c r="A275" s="55" t="str">
        <f t="shared" si="8"/>
        <v/>
      </c>
      <c r="J275" s="65" t="str">
        <f t="shared" si="9"/>
        <v/>
      </c>
    </row>
    <row r="276" spans="1:10">
      <c r="A276" s="55" t="str">
        <f t="shared" si="8"/>
        <v/>
      </c>
      <c r="J276" s="65" t="str">
        <f t="shared" si="9"/>
        <v/>
      </c>
    </row>
    <row r="277" spans="1:10">
      <c r="A277" s="55" t="str">
        <f t="shared" si="8"/>
        <v/>
      </c>
      <c r="J277" s="65" t="str">
        <f t="shared" si="9"/>
        <v/>
      </c>
    </row>
    <row r="278" spans="1:10">
      <c r="A278" s="55" t="str">
        <f t="shared" si="8"/>
        <v/>
      </c>
      <c r="J278" s="65" t="str">
        <f t="shared" si="9"/>
        <v/>
      </c>
    </row>
    <row r="279" spans="1:10">
      <c r="A279" s="55" t="str">
        <f t="shared" si="8"/>
        <v/>
      </c>
      <c r="J279" s="65" t="str">
        <f t="shared" si="9"/>
        <v/>
      </c>
    </row>
    <row r="280" spans="1:10">
      <c r="A280" s="55" t="str">
        <f t="shared" si="8"/>
        <v/>
      </c>
      <c r="J280" s="65" t="str">
        <f t="shared" si="9"/>
        <v/>
      </c>
    </row>
    <row r="281" spans="1:10">
      <c r="A281" s="55" t="str">
        <f t="shared" si="8"/>
        <v/>
      </c>
      <c r="J281" s="65" t="str">
        <f t="shared" si="9"/>
        <v/>
      </c>
    </row>
    <row r="282" spans="1:10">
      <c r="A282" s="55" t="str">
        <f t="shared" si="8"/>
        <v/>
      </c>
      <c r="J282" s="65" t="str">
        <f t="shared" si="9"/>
        <v/>
      </c>
    </row>
    <row r="283" spans="1:10">
      <c r="A283" s="55" t="str">
        <f t="shared" si="8"/>
        <v/>
      </c>
      <c r="J283" s="65" t="str">
        <f t="shared" si="9"/>
        <v/>
      </c>
    </row>
    <row r="284" spans="1:10">
      <c r="A284" s="55" t="str">
        <f t="shared" si="8"/>
        <v/>
      </c>
      <c r="J284" s="65" t="str">
        <f t="shared" si="9"/>
        <v/>
      </c>
    </row>
    <row r="285" spans="1:10">
      <c r="A285" s="55" t="str">
        <f t="shared" si="8"/>
        <v/>
      </c>
      <c r="J285" s="65" t="str">
        <f t="shared" si="9"/>
        <v/>
      </c>
    </row>
    <row r="286" spans="1:10">
      <c r="A286" s="55" t="str">
        <f t="shared" si="8"/>
        <v/>
      </c>
      <c r="J286" s="65" t="str">
        <f t="shared" si="9"/>
        <v/>
      </c>
    </row>
    <row r="287" spans="1:10">
      <c r="A287" s="55" t="str">
        <f t="shared" si="8"/>
        <v/>
      </c>
      <c r="J287" s="65" t="str">
        <f t="shared" si="9"/>
        <v/>
      </c>
    </row>
    <row r="288" spans="1:10">
      <c r="A288" s="55" t="str">
        <f t="shared" si="8"/>
        <v/>
      </c>
      <c r="J288" s="65" t="str">
        <f t="shared" si="9"/>
        <v/>
      </c>
    </row>
    <row r="289" spans="1:10">
      <c r="A289" s="55" t="str">
        <f t="shared" si="8"/>
        <v/>
      </c>
      <c r="J289" s="65" t="str">
        <f t="shared" si="9"/>
        <v/>
      </c>
    </row>
    <row r="290" spans="1:10">
      <c r="A290" s="55" t="str">
        <f t="shared" si="8"/>
        <v/>
      </c>
      <c r="J290" s="65" t="str">
        <f t="shared" si="9"/>
        <v/>
      </c>
    </row>
    <row r="291" spans="1:10">
      <c r="A291" s="55" t="str">
        <f t="shared" si="8"/>
        <v/>
      </c>
      <c r="J291" s="65" t="str">
        <f t="shared" si="9"/>
        <v/>
      </c>
    </row>
    <row r="292" spans="1:10">
      <c r="A292" s="55" t="str">
        <f t="shared" si="8"/>
        <v/>
      </c>
      <c r="J292" s="65" t="str">
        <f t="shared" si="9"/>
        <v/>
      </c>
    </row>
    <row r="293" spans="1:10">
      <c r="A293" s="55" t="str">
        <f t="shared" si="8"/>
        <v/>
      </c>
      <c r="J293" s="65" t="str">
        <f t="shared" si="9"/>
        <v/>
      </c>
    </row>
    <row r="294" spans="1:10">
      <c r="A294" s="55" t="str">
        <f t="shared" si="8"/>
        <v/>
      </c>
      <c r="J294" s="65" t="str">
        <f t="shared" si="9"/>
        <v/>
      </c>
    </row>
    <row r="295" spans="1:10">
      <c r="A295" s="55" t="str">
        <f t="shared" si="8"/>
        <v/>
      </c>
      <c r="J295" s="65" t="str">
        <f t="shared" si="9"/>
        <v/>
      </c>
    </row>
    <row r="296" spans="1:10">
      <c r="A296" s="55" t="str">
        <f t="shared" si="8"/>
        <v/>
      </c>
      <c r="J296" s="65" t="str">
        <f t="shared" si="9"/>
        <v/>
      </c>
    </row>
    <row r="297" spans="1:10">
      <c r="A297" s="55" t="str">
        <f t="shared" si="8"/>
        <v/>
      </c>
      <c r="J297" s="65" t="str">
        <f t="shared" si="9"/>
        <v/>
      </c>
    </row>
    <row r="298" spans="1:10">
      <c r="A298" s="55" t="str">
        <f t="shared" si="8"/>
        <v/>
      </c>
      <c r="J298" s="65" t="str">
        <f t="shared" si="9"/>
        <v/>
      </c>
    </row>
    <row r="299" spans="1:10">
      <c r="A299" s="55" t="str">
        <f t="shared" si="8"/>
        <v/>
      </c>
      <c r="J299" s="65" t="str">
        <f t="shared" si="9"/>
        <v/>
      </c>
    </row>
    <row r="300" spans="1:10">
      <c r="A300" s="55" t="str">
        <f t="shared" si="8"/>
        <v/>
      </c>
      <c r="J300" s="65" t="str">
        <f t="shared" si="9"/>
        <v/>
      </c>
    </row>
    <row r="301" spans="1:10">
      <c r="A301" s="55" t="str">
        <f t="shared" si="8"/>
        <v/>
      </c>
      <c r="J301" s="65" t="str">
        <f t="shared" si="9"/>
        <v/>
      </c>
    </row>
    <row r="302" spans="1:10">
      <c r="A302" s="55" t="str">
        <f t="shared" si="8"/>
        <v/>
      </c>
      <c r="J302" s="65" t="str">
        <f t="shared" si="9"/>
        <v/>
      </c>
    </row>
    <row r="303" spans="1:10">
      <c r="A303" s="55" t="str">
        <f t="shared" si="8"/>
        <v/>
      </c>
      <c r="J303" s="65" t="str">
        <f t="shared" si="9"/>
        <v/>
      </c>
    </row>
    <row r="304" spans="1:10">
      <c r="A304" s="55" t="str">
        <f t="shared" si="8"/>
        <v/>
      </c>
      <c r="J304" s="65" t="str">
        <f t="shared" si="9"/>
        <v/>
      </c>
    </row>
    <row r="305" spans="1:10">
      <c r="A305" s="55" t="str">
        <f t="shared" si="8"/>
        <v/>
      </c>
      <c r="J305" s="65" t="str">
        <f t="shared" si="9"/>
        <v/>
      </c>
    </row>
    <row r="306" spans="1:10">
      <c r="A306" s="55" t="str">
        <f t="shared" si="8"/>
        <v/>
      </c>
      <c r="J306" s="65" t="str">
        <f t="shared" si="9"/>
        <v/>
      </c>
    </row>
    <row r="307" spans="1:10">
      <c r="A307" s="55" t="str">
        <f t="shared" si="8"/>
        <v/>
      </c>
      <c r="J307" s="65" t="str">
        <f t="shared" si="9"/>
        <v/>
      </c>
    </row>
    <row r="308" spans="1:10">
      <c r="A308" s="55" t="str">
        <f t="shared" si="8"/>
        <v/>
      </c>
      <c r="J308" s="65" t="str">
        <f t="shared" si="9"/>
        <v/>
      </c>
    </row>
    <row r="309" spans="1:10">
      <c r="A309" s="55" t="str">
        <f t="shared" si="8"/>
        <v/>
      </c>
      <c r="J309" s="65" t="str">
        <f t="shared" si="9"/>
        <v/>
      </c>
    </row>
    <row r="310" spans="1:10">
      <c r="A310" s="55" t="str">
        <f t="shared" si="8"/>
        <v/>
      </c>
      <c r="J310" s="65" t="str">
        <f t="shared" si="9"/>
        <v/>
      </c>
    </row>
    <row r="311" spans="1:10">
      <c r="A311" s="55" t="str">
        <f t="shared" si="8"/>
        <v/>
      </c>
      <c r="J311" s="65" t="str">
        <f t="shared" si="9"/>
        <v/>
      </c>
    </row>
    <row r="312" spans="1:10">
      <c r="A312" s="55" t="str">
        <f t="shared" si="8"/>
        <v/>
      </c>
      <c r="J312" s="65" t="str">
        <f t="shared" si="9"/>
        <v/>
      </c>
    </row>
    <row r="313" spans="1:10">
      <c r="A313" s="55" t="str">
        <f t="shared" si="8"/>
        <v/>
      </c>
      <c r="J313" s="65" t="str">
        <f t="shared" si="9"/>
        <v/>
      </c>
    </row>
    <row r="314" spans="1:10">
      <c r="A314" s="55" t="str">
        <f t="shared" si="8"/>
        <v/>
      </c>
      <c r="J314" s="65" t="str">
        <f t="shared" si="9"/>
        <v/>
      </c>
    </row>
    <row r="315" spans="1:10">
      <c r="A315" s="55" t="str">
        <f t="shared" si="8"/>
        <v/>
      </c>
      <c r="J315" s="65" t="str">
        <f t="shared" si="9"/>
        <v/>
      </c>
    </row>
    <row r="316" spans="1:10">
      <c r="A316" s="55" t="str">
        <f t="shared" si="8"/>
        <v/>
      </c>
      <c r="J316" s="65" t="str">
        <f t="shared" si="9"/>
        <v/>
      </c>
    </row>
    <row r="317" spans="1:10">
      <c r="A317" s="55" t="str">
        <f t="shared" si="8"/>
        <v/>
      </c>
      <c r="J317" s="65" t="str">
        <f t="shared" si="9"/>
        <v/>
      </c>
    </row>
    <row r="318" spans="1:10">
      <c r="A318" s="55" t="str">
        <f t="shared" si="8"/>
        <v/>
      </c>
      <c r="J318" s="65" t="str">
        <f t="shared" si="9"/>
        <v/>
      </c>
    </row>
    <row r="319" spans="1:10">
      <c r="A319" s="55" t="str">
        <f t="shared" si="8"/>
        <v/>
      </c>
      <c r="J319" s="65" t="str">
        <f t="shared" si="9"/>
        <v/>
      </c>
    </row>
    <row r="320" spans="1:10">
      <c r="A320" s="55" t="str">
        <f t="shared" si="8"/>
        <v/>
      </c>
      <c r="J320" s="65" t="str">
        <f t="shared" si="9"/>
        <v/>
      </c>
    </row>
    <row r="321" spans="1:10">
      <c r="A321" s="55" t="str">
        <f t="shared" si="8"/>
        <v/>
      </c>
      <c r="J321" s="65" t="str">
        <f t="shared" si="9"/>
        <v/>
      </c>
    </row>
    <row r="322" spans="1:10">
      <c r="A322" s="55" t="str">
        <f t="shared" si="8"/>
        <v/>
      </c>
      <c r="J322" s="65" t="str">
        <f t="shared" si="9"/>
        <v/>
      </c>
    </row>
    <row r="323" spans="1:10">
      <c r="A323" s="55" t="str">
        <f t="shared" ref="A323:A386" si="10">IF(C323&lt;&gt;"",ROW(C323)-1,"")</f>
        <v/>
      </c>
      <c r="J323" s="65" t="str">
        <f t="shared" ref="J323:J386" si="11">IF(A323&lt;&gt;"",HYPERLINK("#"&amp;A323&amp;"!A1",D323),"")</f>
        <v/>
      </c>
    </row>
    <row r="324" spans="1:10">
      <c r="A324" s="55" t="str">
        <f t="shared" si="10"/>
        <v/>
      </c>
      <c r="J324" s="65" t="str">
        <f t="shared" si="11"/>
        <v/>
      </c>
    </row>
    <row r="325" spans="1:10">
      <c r="A325" s="55" t="str">
        <f t="shared" si="10"/>
        <v/>
      </c>
      <c r="J325" s="65" t="str">
        <f t="shared" si="11"/>
        <v/>
      </c>
    </row>
    <row r="326" spans="1:10">
      <c r="A326" s="55" t="str">
        <f t="shared" si="10"/>
        <v/>
      </c>
      <c r="J326" s="65" t="str">
        <f t="shared" si="11"/>
        <v/>
      </c>
    </row>
    <row r="327" spans="1:10">
      <c r="A327" s="55" t="str">
        <f t="shared" si="10"/>
        <v/>
      </c>
      <c r="J327" s="65" t="str">
        <f t="shared" si="11"/>
        <v/>
      </c>
    </row>
    <row r="328" spans="1:10">
      <c r="A328" s="55" t="str">
        <f t="shared" si="10"/>
        <v/>
      </c>
      <c r="J328" s="65" t="str">
        <f t="shared" si="11"/>
        <v/>
      </c>
    </row>
    <row r="329" spans="1:10">
      <c r="A329" s="55" t="str">
        <f t="shared" si="10"/>
        <v/>
      </c>
      <c r="J329" s="65" t="str">
        <f t="shared" si="11"/>
        <v/>
      </c>
    </row>
    <row r="330" spans="1:10">
      <c r="A330" s="55" t="str">
        <f t="shared" si="10"/>
        <v/>
      </c>
      <c r="J330" s="65" t="str">
        <f t="shared" si="11"/>
        <v/>
      </c>
    </row>
    <row r="331" spans="1:10">
      <c r="A331" s="55" t="str">
        <f t="shared" si="10"/>
        <v/>
      </c>
      <c r="J331" s="65" t="str">
        <f t="shared" si="11"/>
        <v/>
      </c>
    </row>
    <row r="332" spans="1:10">
      <c r="A332" s="55" t="str">
        <f t="shared" si="10"/>
        <v/>
      </c>
      <c r="J332" s="65" t="str">
        <f t="shared" si="11"/>
        <v/>
      </c>
    </row>
    <row r="333" spans="1:10">
      <c r="A333" s="55" t="str">
        <f t="shared" si="10"/>
        <v/>
      </c>
      <c r="J333" s="65" t="str">
        <f t="shared" si="11"/>
        <v/>
      </c>
    </row>
    <row r="334" spans="1:10">
      <c r="A334" s="55" t="str">
        <f t="shared" si="10"/>
        <v/>
      </c>
      <c r="J334" s="65" t="str">
        <f t="shared" si="11"/>
        <v/>
      </c>
    </row>
    <row r="335" spans="1:10">
      <c r="A335" s="55" t="str">
        <f t="shared" si="10"/>
        <v/>
      </c>
      <c r="J335" s="65" t="str">
        <f t="shared" si="11"/>
        <v/>
      </c>
    </row>
    <row r="336" spans="1:10">
      <c r="A336" s="55" t="str">
        <f t="shared" si="10"/>
        <v/>
      </c>
      <c r="J336" s="65" t="str">
        <f t="shared" si="11"/>
        <v/>
      </c>
    </row>
    <row r="337" spans="1:10">
      <c r="A337" s="55" t="str">
        <f t="shared" si="10"/>
        <v/>
      </c>
      <c r="J337" s="65" t="str">
        <f t="shared" si="11"/>
        <v/>
      </c>
    </row>
    <row r="338" spans="1:10">
      <c r="A338" s="55" t="str">
        <f t="shared" si="10"/>
        <v/>
      </c>
      <c r="J338" s="65" t="str">
        <f t="shared" si="11"/>
        <v/>
      </c>
    </row>
    <row r="339" spans="1:10">
      <c r="A339" s="55" t="str">
        <f t="shared" si="10"/>
        <v/>
      </c>
      <c r="J339" s="65" t="str">
        <f t="shared" si="11"/>
        <v/>
      </c>
    </row>
    <row r="340" spans="1:10">
      <c r="A340" s="55" t="str">
        <f t="shared" si="10"/>
        <v/>
      </c>
      <c r="J340" s="65" t="str">
        <f t="shared" si="11"/>
        <v/>
      </c>
    </row>
    <row r="341" spans="1:10">
      <c r="A341" s="55" t="str">
        <f t="shared" si="10"/>
        <v/>
      </c>
      <c r="J341" s="65" t="str">
        <f t="shared" si="11"/>
        <v/>
      </c>
    </row>
    <row r="342" spans="1:10">
      <c r="A342" s="55" t="str">
        <f t="shared" si="10"/>
        <v/>
      </c>
      <c r="J342" s="65" t="str">
        <f t="shared" si="11"/>
        <v/>
      </c>
    </row>
    <row r="343" spans="1:10">
      <c r="A343" s="55" t="str">
        <f t="shared" si="10"/>
        <v/>
      </c>
      <c r="J343" s="65" t="str">
        <f t="shared" si="11"/>
        <v/>
      </c>
    </row>
    <row r="344" spans="1:10">
      <c r="A344" s="55" t="str">
        <f t="shared" si="10"/>
        <v/>
      </c>
      <c r="J344" s="65" t="str">
        <f t="shared" si="11"/>
        <v/>
      </c>
    </row>
    <row r="345" spans="1:10">
      <c r="A345" s="55" t="str">
        <f t="shared" si="10"/>
        <v/>
      </c>
      <c r="J345" s="65" t="str">
        <f t="shared" si="11"/>
        <v/>
      </c>
    </row>
    <row r="346" spans="1:10">
      <c r="A346" s="55" t="str">
        <f t="shared" si="10"/>
        <v/>
      </c>
      <c r="J346" s="65" t="str">
        <f t="shared" si="11"/>
        <v/>
      </c>
    </row>
    <row r="347" spans="1:10">
      <c r="A347" s="55" t="str">
        <f t="shared" si="10"/>
        <v/>
      </c>
      <c r="J347" s="65" t="str">
        <f t="shared" si="11"/>
        <v/>
      </c>
    </row>
    <row r="348" spans="1:10">
      <c r="A348" s="55" t="str">
        <f t="shared" si="10"/>
        <v/>
      </c>
      <c r="J348" s="65" t="str">
        <f t="shared" si="11"/>
        <v/>
      </c>
    </row>
    <row r="349" spans="1:10">
      <c r="A349" s="55" t="str">
        <f t="shared" si="10"/>
        <v/>
      </c>
      <c r="J349" s="65" t="str">
        <f t="shared" si="11"/>
        <v/>
      </c>
    </row>
    <row r="350" spans="1:10">
      <c r="A350" s="55" t="str">
        <f t="shared" si="10"/>
        <v/>
      </c>
      <c r="J350" s="65" t="str">
        <f t="shared" si="11"/>
        <v/>
      </c>
    </row>
    <row r="351" spans="1:10">
      <c r="A351" s="55" t="str">
        <f t="shared" si="10"/>
        <v/>
      </c>
      <c r="J351" s="65" t="str">
        <f t="shared" si="11"/>
        <v/>
      </c>
    </row>
    <row r="352" spans="1:10">
      <c r="A352" s="55" t="str">
        <f t="shared" si="10"/>
        <v/>
      </c>
      <c r="J352" s="65" t="str">
        <f t="shared" si="11"/>
        <v/>
      </c>
    </row>
    <row r="353" spans="1:10">
      <c r="A353" s="55" t="str">
        <f t="shared" si="10"/>
        <v/>
      </c>
      <c r="J353" s="65" t="str">
        <f t="shared" si="11"/>
        <v/>
      </c>
    </row>
    <row r="354" spans="1:10">
      <c r="A354" s="55" t="str">
        <f t="shared" si="10"/>
        <v/>
      </c>
      <c r="J354" s="65" t="str">
        <f t="shared" si="11"/>
        <v/>
      </c>
    </row>
    <row r="355" spans="1:10">
      <c r="A355" s="55" t="str">
        <f t="shared" si="10"/>
        <v/>
      </c>
      <c r="J355" s="65" t="str">
        <f t="shared" si="11"/>
        <v/>
      </c>
    </row>
    <row r="356" spans="1:10">
      <c r="A356" s="55" t="str">
        <f t="shared" si="10"/>
        <v/>
      </c>
      <c r="J356" s="65" t="str">
        <f t="shared" si="11"/>
        <v/>
      </c>
    </row>
    <row r="357" spans="1:10">
      <c r="A357" s="55" t="str">
        <f t="shared" si="10"/>
        <v/>
      </c>
      <c r="J357" s="65" t="str">
        <f t="shared" si="11"/>
        <v/>
      </c>
    </row>
    <row r="358" spans="1:10">
      <c r="A358" s="55" t="str">
        <f t="shared" si="10"/>
        <v/>
      </c>
      <c r="J358" s="65" t="str">
        <f t="shared" si="11"/>
        <v/>
      </c>
    </row>
    <row r="359" spans="1:10">
      <c r="A359" s="55" t="str">
        <f t="shared" si="10"/>
        <v/>
      </c>
      <c r="J359" s="65" t="str">
        <f t="shared" si="11"/>
        <v/>
      </c>
    </row>
    <row r="360" spans="1:10">
      <c r="A360" s="55" t="str">
        <f t="shared" si="10"/>
        <v/>
      </c>
      <c r="J360" s="65" t="str">
        <f t="shared" si="11"/>
        <v/>
      </c>
    </row>
    <row r="361" spans="1:10">
      <c r="A361" s="55" t="str">
        <f t="shared" si="10"/>
        <v/>
      </c>
      <c r="J361" s="65" t="str">
        <f t="shared" si="11"/>
        <v/>
      </c>
    </row>
    <row r="362" spans="1:10">
      <c r="A362" s="55" t="str">
        <f t="shared" si="10"/>
        <v/>
      </c>
      <c r="J362" s="65" t="str">
        <f t="shared" si="11"/>
        <v/>
      </c>
    </row>
    <row r="363" spans="1:10">
      <c r="A363" s="55" t="str">
        <f t="shared" si="10"/>
        <v/>
      </c>
      <c r="J363" s="65" t="str">
        <f t="shared" si="11"/>
        <v/>
      </c>
    </row>
    <row r="364" spans="1:10">
      <c r="A364" s="55" t="str">
        <f t="shared" si="10"/>
        <v/>
      </c>
      <c r="J364" s="65" t="str">
        <f t="shared" si="11"/>
        <v/>
      </c>
    </row>
    <row r="365" spans="1:10">
      <c r="A365" s="55" t="str">
        <f t="shared" si="10"/>
        <v/>
      </c>
      <c r="J365" s="65" t="str">
        <f t="shared" si="11"/>
        <v/>
      </c>
    </row>
    <row r="366" spans="1:10">
      <c r="A366" s="55" t="str">
        <f t="shared" si="10"/>
        <v/>
      </c>
      <c r="J366" s="65" t="str">
        <f t="shared" si="11"/>
        <v/>
      </c>
    </row>
    <row r="367" spans="1:10">
      <c r="A367" s="55" t="str">
        <f t="shared" si="10"/>
        <v/>
      </c>
      <c r="J367" s="65" t="str">
        <f t="shared" si="11"/>
        <v/>
      </c>
    </row>
    <row r="368" spans="1:10">
      <c r="A368" s="55" t="str">
        <f t="shared" si="10"/>
        <v/>
      </c>
      <c r="J368" s="65" t="str">
        <f t="shared" si="11"/>
        <v/>
      </c>
    </row>
    <row r="369" spans="1:10">
      <c r="A369" s="55" t="str">
        <f t="shared" si="10"/>
        <v/>
      </c>
      <c r="J369" s="65" t="str">
        <f t="shared" si="11"/>
        <v/>
      </c>
    </row>
    <row r="370" spans="1:10">
      <c r="A370" s="55" t="str">
        <f t="shared" si="10"/>
        <v/>
      </c>
      <c r="J370" s="65" t="str">
        <f t="shared" si="11"/>
        <v/>
      </c>
    </row>
    <row r="371" spans="1:10">
      <c r="A371" s="55" t="str">
        <f t="shared" si="10"/>
        <v/>
      </c>
      <c r="J371" s="65" t="str">
        <f t="shared" si="11"/>
        <v/>
      </c>
    </row>
    <row r="372" spans="1:10">
      <c r="A372" s="55" t="str">
        <f t="shared" si="10"/>
        <v/>
      </c>
      <c r="J372" s="65" t="str">
        <f t="shared" si="11"/>
        <v/>
      </c>
    </row>
    <row r="373" spans="1:10">
      <c r="A373" s="55" t="str">
        <f t="shared" si="10"/>
        <v/>
      </c>
      <c r="J373" s="65" t="str">
        <f t="shared" si="11"/>
        <v/>
      </c>
    </row>
    <row r="374" spans="1:10">
      <c r="A374" s="55" t="str">
        <f t="shared" si="10"/>
        <v/>
      </c>
      <c r="J374" s="65" t="str">
        <f t="shared" si="11"/>
        <v/>
      </c>
    </row>
    <row r="375" spans="1:10">
      <c r="A375" s="55" t="str">
        <f t="shared" si="10"/>
        <v/>
      </c>
      <c r="J375" s="65" t="str">
        <f t="shared" si="11"/>
        <v/>
      </c>
    </row>
    <row r="376" spans="1:10">
      <c r="A376" s="55" t="str">
        <f t="shared" si="10"/>
        <v/>
      </c>
      <c r="J376" s="65" t="str">
        <f t="shared" si="11"/>
        <v/>
      </c>
    </row>
    <row r="377" spans="1:10">
      <c r="A377" s="55" t="str">
        <f t="shared" si="10"/>
        <v/>
      </c>
      <c r="J377" s="65" t="str">
        <f t="shared" si="11"/>
        <v/>
      </c>
    </row>
    <row r="378" spans="1:10">
      <c r="A378" s="55" t="str">
        <f t="shared" si="10"/>
        <v/>
      </c>
      <c r="J378" s="65" t="str">
        <f t="shared" si="11"/>
        <v/>
      </c>
    </row>
    <row r="379" spans="1:10">
      <c r="A379" s="55" t="str">
        <f t="shared" si="10"/>
        <v/>
      </c>
      <c r="J379" s="65" t="str">
        <f t="shared" si="11"/>
        <v/>
      </c>
    </row>
    <row r="380" spans="1:10">
      <c r="A380" s="55" t="str">
        <f t="shared" si="10"/>
        <v/>
      </c>
      <c r="J380" s="65" t="str">
        <f t="shared" si="11"/>
        <v/>
      </c>
    </row>
    <row r="381" spans="1:10">
      <c r="A381" s="55" t="str">
        <f t="shared" si="10"/>
        <v/>
      </c>
      <c r="J381" s="65" t="str">
        <f t="shared" si="11"/>
        <v/>
      </c>
    </row>
    <row r="382" spans="1:10">
      <c r="A382" s="55" t="str">
        <f t="shared" si="10"/>
        <v/>
      </c>
      <c r="J382" s="65" t="str">
        <f t="shared" si="11"/>
        <v/>
      </c>
    </row>
    <row r="383" spans="1:10">
      <c r="A383" s="55" t="str">
        <f t="shared" si="10"/>
        <v/>
      </c>
      <c r="J383" s="65" t="str">
        <f t="shared" si="11"/>
        <v/>
      </c>
    </row>
    <row r="384" spans="1:10">
      <c r="A384" s="55" t="str">
        <f t="shared" si="10"/>
        <v/>
      </c>
      <c r="J384" s="65" t="str">
        <f t="shared" si="11"/>
        <v/>
      </c>
    </row>
    <row r="385" spans="1:10">
      <c r="A385" s="55" t="str">
        <f t="shared" si="10"/>
        <v/>
      </c>
      <c r="J385" s="65" t="str">
        <f t="shared" si="11"/>
        <v/>
      </c>
    </row>
    <row r="386" spans="1:10">
      <c r="A386" s="55" t="str">
        <f t="shared" si="10"/>
        <v/>
      </c>
      <c r="J386" s="65" t="str">
        <f t="shared" si="11"/>
        <v/>
      </c>
    </row>
    <row r="387" spans="1:10">
      <c r="A387" s="55" t="str">
        <f t="shared" ref="A387:A450" si="12">IF(C387&lt;&gt;"",ROW(C387)-1,"")</f>
        <v/>
      </c>
      <c r="J387" s="65" t="str">
        <f t="shared" ref="J387:J450" si="13">IF(A387&lt;&gt;"",HYPERLINK("#"&amp;A387&amp;"!A1",D387),"")</f>
        <v/>
      </c>
    </row>
    <row r="388" spans="1:10">
      <c r="A388" s="55" t="str">
        <f t="shared" si="12"/>
        <v/>
      </c>
      <c r="J388" s="65" t="str">
        <f t="shared" si="13"/>
        <v/>
      </c>
    </row>
    <row r="389" spans="1:10">
      <c r="A389" s="55" t="str">
        <f t="shared" si="12"/>
        <v/>
      </c>
      <c r="J389" s="65" t="str">
        <f t="shared" si="13"/>
        <v/>
      </c>
    </row>
    <row r="390" spans="1:10">
      <c r="A390" s="55" t="str">
        <f t="shared" si="12"/>
        <v/>
      </c>
      <c r="J390" s="65" t="str">
        <f t="shared" si="13"/>
        <v/>
      </c>
    </row>
    <row r="391" spans="1:10">
      <c r="A391" s="55" t="str">
        <f t="shared" si="12"/>
        <v/>
      </c>
      <c r="J391" s="65" t="str">
        <f t="shared" si="13"/>
        <v/>
      </c>
    </row>
    <row r="392" spans="1:10">
      <c r="A392" s="55" t="str">
        <f t="shared" si="12"/>
        <v/>
      </c>
      <c r="J392" s="65" t="str">
        <f t="shared" si="13"/>
        <v/>
      </c>
    </row>
    <row r="393" spans="1:10">
      <c r="A393" s="55" t="str">
        <f t="shared" si="12"/>
        <v/>
      </c>
      <c r="J393" s="65" t="str">
        <f t="shared" si="13"/>
        <v/>
      </c>
    </row>
    <row r="394" spans="1:10">
      <c r="A394" s="55" t="str">
        <f t="shared" si="12"/>
        <v/>
      </c>
      <c r="J394" s="65" t="str">
        <f t="shared" si="13"/>
        <v/>
      </c>
    </row>
    <row r="395" spans="1:10">
      <c r="A395" s="55" t="str">
        <f t="shared" si="12"/>
        <v/>
      </c>
      <c r="J395" s="65" t="str">
        <f t="shared" si="13"/>
        <v/>
      </c>
    </row>
    <row r="396" spans="1:10">
      <c r="A396" s="55" t="str">
        <f t="shared" si="12"/>
        <v/>
      </c>
      <c r="J396" s="65" t="str">
        <f t="shared" si="13"/>
        <v/>
      </c>
    </row>
    <row r="397" spans="1:10">
      <c r="A397" s="55" t="str">
        <f t="shared" si="12"/>
        <v/>
      </c>
      <c r="J397" s="65" t="str">
        <f t="shared" si="13"/>
        <v/>
      </c>
    </row>
    <row r="398" spans="1:10">
      <c r="A398" s="55" t="str">
        <f t="shared" si="12"/>
        <v/>
      </c>
      <c r="J398" s="65" t="str">
        <f t="shared" si="13"/>
        <v/>
      </c>
    </row>
    <row r="399" spans="1:10">
      <c r="A399" s="55" t="str">
        <f t="shared" si="12"/>
        <v/>
      </c>
      <c r="J399" s="65" t="str">
        <f t="shared" si="13"/>
        <v/>
      </c>
    </row>
    <row r="400" spans="1:10">
      <c r="A400" s="55" t="str">
        <f t="shared" si="12"/>
        <v/>
      </c>
      <c r="J400" s="65" t="str">
        <f t="shared" si="13"/>
        <v/>
      </c>
    </row>
    <row r="401" spans="1:10">
      <c r="A401" s="55" t="str">
        <f t="shared" si="12"/>
        <v/>
      </c>
      <c r="J401" s="65" t="str">
        <f t="shared" si="13"/>
        <v/>
      </c>
    </row>
    <row r="402" spans="1:10">
      <c r="A402" s="55" t="str">
        <f t="shared" si="12"/>
        <v/>
      </c>
      <c r="J402" s="65" t="str">
        <f t="shared" si="13"/>
        <v/>
      </c>
    </row>
    <row r="403" spans="1:10">
      <c r="A403" s="55" t="str">
        <f t="shared" si="12"/>
        <v/>
      </c>
      <c r="J403" s="65" t="str">
        <f t="shared" si="13"/>
        <v/>
      </c>
    </row>
    <row r="404" spans="1:10">
      <c r="A404" s="55" t="str">
        <f t="shared" si="12"/>
        <v/>
      </c>
      <c r="J404" s="65" t="str">
        <f t="shared" si="13"/>
        <v/>
      </c>
    </row>
    <row r="405" spans="1:10">
      <c r="A405" s="55" t="str">
        <f t="shared" si="12"/>
        <v/>
      </c>
      <c r="J405" s="65" t="str">
        <f t="shared" si="13"/>
        <v/>
      </c>
    </row>
    <row r="406" spans="1:10">
      <c r="A406" s="55" t="str">
        <f t="shared" si="12"/>
        <v/>
      </c>
      <c r="J406" s="65" t="str">
        <f t="shared" si="13"/>
        <v/>
      </c>
    </row>
    <row r="407" spans="1:10">
      <c r="A407" s="55" t="str">
        <f t="shared" si="12"/>
        <v/>
      </c>
      <c r="J407" s="65" t="str">
        <f t="shared" si="13"/>
        <v/>
      </c>
    </row>
    <row r="408" spans="1:10">
      <c r="A408" s="55" t="str">
        <f t="shared" si="12"/>
        <v/>
      </c>
      <c r="J408" s="65" t="str">
        <f t="shared" si="13"/>
        <v/>
      </c>
    </row>
    <row r="409" spans="1:10">
      <c r="A409" s="55" t="str">
        <f t="shared" si="12"/>
        <v/>
      </c>
      <c r="J409" s="65" t="str">
        <f t="shared" si="13"/>
        <v/>
      </c>
    </row>
    <row r="410" spans="1:10">
      <c r="A410" s="55" t="str">
        <f t="shared" si="12"/>
        <v/>
      </c>
      <c r="J410" s="65" t="str">
        <f t="shared" si="13"/>
        <v/>
      </c>
    </row>
    <row r="411" spans="1:10">
      <c r="A411" s="55" t="str">
        <f t="shared" si="12"/>
        <v/>
      </c>
      <c r="J411" s="65" t="str">
        <f t="shared" si="13"/>
        <v/>
      </c>
    </row>
    <row r="412" spans="1:10">
      <c r="A412" s="55" t="str">
        <f t="shared" si="12"/>
        <v/>
      </c>
      <c r="J412" s="65" t="str">
        <f t="shared" si="13"/>
        <v/>
      </c>
    </row>
    <row r="413" spans="1:10">
      <c r="A413" s="55" t="str">
        <f t="shared" si="12"/>
        <v/>
      </c>
      <c r="J413" s="65" t="str">
        <f t="shared" si="13"/>
        <v/>
      </c>
    </row>
    <row r="414" spans="1:10">
      <c r="A414" s="55" t="str">
        <f t="shared" si="12"/>
        <v/>
      </c>
      <c r="J414" s="65" t="str">
        <f t="shared" si="13"/>
        <v/>
      </c>
    </row>
    <row r="415" spans="1:10">
      <c r="A415" s="55" t="str">
        <f t="shared" si="12"/>
        <v/>
      </c>
      <c r="J415" s="65" t="str">
        <f t="shared" si="13"/>
        <v/>
      </c>
    </row>
    <row r="416" spans="1:10">
      <c r="A416" s="55" t="str">
        <f t="shared" si="12"/>
        <v/>
      </c>
      <c r="J416" s="65" t="str">
        <f t="shared" si="13"/>
        <v/>
      </c>
    </row>
    <row r="417" spans="1:10">
      <c r="A417" s="55" t="str">
        <f t="shared" si="12"/>
        <v/>
      </c>
      <c r="J417" s="65" t="str">
        <f t="shared" si="13"/>
        <v/>
      </c>
    </row>
    <row r="418" spans="1:10">
      <c r="A418" s="55" t="str">
        <f t="shared" si="12"/>
        <v/>
      </c>
      <c r="J418" s="65" t="str">
        <f t="shared" si="13"/>
        <v/>
      </c>
    </row>
    <row r="419" spans="1:10">
      <c r="A419" s="55" t="str">
        <f t="shared" si="12"/>
        <v/>
      </c>
      <c r="J419" s="65" t="str">
        <f t="shared" si="13"/>
        <v/>
      </c>
    </row>
    <row r="420" spans="1:10">
      <c r="A420" s="55" t="str">
        <f t="shared" si="12"/>
        <v/>
      </c>
      <c r="J420" s="65" t="str">
        <f t="shared" si="13"/>
        <v/>
      </c>
    </row>
    <row r="421" spans="1:10">
      <c r="A421" s="55" t="str">
        <f t="shared" si="12"/>
        <v/>
      </c>
      <c r="J421" s="65" t="str">
        <f t="shared" si="13"/>
        <v/>
      </c>
    </row>
    <row r="422" spans="1:10">
      <c r="A422" s="55" t="str">
        <f t="shared" si="12"/>
        <v/>
      </c>
      <c r="J422" s="65" t="str">
        <f t="shared" si="13"/>
        <v/>
      </c>
    </row>
    <row r="423" spans="1:10">
      <c r="A423" s="55" t="str">
        <f t="shared" si="12"/>
        <v/>
      </c>
      <c r="J423" s="65" t="str">
        <f t="shared" si="13"/>
        <v/>
      </c>
    </row>
    <row r="424" spans="1:10">
      <c r="A424" s="55" t="str">
        <f t="shared" si="12"/>
        <v/>
      </c>
      <c r="J424" s="65" t="str">
        <f t="shared" si="13"/>
        <v/>
      </c>
    </row>
    <row r="425" spans="1:10">
      <c r="A425" s="55" t="str">
        <f t="shared" si="12"/>
        <v/>
      </c>
      <c r="J425" s="65" t="str">
        <f t="shared" si="13"/>
        <v/>
      </c>
    </row>
    <row r="426" spans="1:10">
      <c r="A426" s="55" t="str">
        <f t="shared" si="12"/>
        <v/>
      </c>
      <c r="J426" s="65" t="str">
        <f t="shared" si="13"/>
        <v/>
      </c>
    </row>
    <row r="427" spans="1:10">
      <c r="A427" s="55" t="str">
        <f t="shared" si="12"/>
        <v/>
      </c>
      <c r="J427" s="65" t="str">
        <f t="shared" si="13"/>
        <v/>
      </c>
    </row>
    <row r="428" spans="1:10">
      <c r="A428" s="55" t="str">
        <f t="shared" si="12"/>
        <v/>
      </c>
      <c r="J428" s="65" t="str">
        <f t="shared" si="13"/>
        <v/>
      </c>
    </row>
    <row r="429" spans="1:10">
      <c r="A429" s="55" t="str">
        <f t="shared" si="12"/>
        <v/>
      </c>
      <c r="J429" s="65" t="str">
        <f t="shared" si="13"/>
        <v/>
      </c>
    </row>
    <row r="430" spans="1:10">
      <c r="A430" s="55" t="str">
        <f t="shared" si="12"/>
        <v/>
      </c>
      <c r="J430" s="65" t="str">
        <f t="shared" si="13"/>
        <v/>
      </c>
    </row>
    <row r="431" spans="1:10">
      <c r="A431" s="55" t="str">
        <f t="shared" si="12"/>
        <v/>
      </c>
      <c r="J431" s="65" t="str">
        <f t="shared" si="13"/>
        <v/>
      </c>
    </row>
    <row r="432" spans="1:10">
      <c r="A432" s="55" t="str">
        <f t="shared" si="12"/>
        <v/>
      </c>
      <c r="J432" s="65" t="str">
        <f t="shared" si="13"/>
        <v/>
      </c>
    </row>
    <row r="433" spans="1:10">
      <c r="A433" s="55" t="str">
        <f t="shared" si="12"/>
        <v/>
      </c>
      <c r="J433" s="65" t="str">
        <f t="shared" si="13"/>
        <v/>
      </c>
    </row>
    <row r="434" spans="1:10">
      <c r="A434" s="55" t="str">
        <f t="shared" si="12"/>
        <v/>
      </c>
      <c r="J434" s="65" t="str">
        <f t="shared" si="13"/>
        <v/>
      </c>
    </row>
    <row r="435" spans="1:10">
      <c r="A435" s="55" t="str">
        <f t="shared" si="12"/>
        <v/>
      </c>
      <c r="J435" s="65" t="str">
        <f t="shared" si="13"/>
        <v/>
      </c>
    </row>
    <row r="436" spans="1:10">
      <c r="A436" s="55" t="str">
        <f t="shared" si="12"/>
        <v/>
      </c>
      <c r="J436" s="65" t="str">
        <f t="shared" si="13"/>
        <v/>
      </c>
    </row>
    <row r="437" spans="1:10">
      <c r="A437" s="55" t="str">
        <f t="shared" si="12"/>
        <v/>
      </c>
      <c r="J437" s="65" t="str">
        <f t="shared" si="13"/>
        <v/>
      </c>
    </row>
    <row r="438" spans="1:10">
      <c r="A438" s="55" t="str">
        <f t="shared" si="12"/>
        <v/>
      </c>
      <c r="J438" s="65" t="str">
        <f t="shared" si="13"/>
        <v/>
      </c>
    </row>
    <row r="439" spans="1:10">
      <c r="A439" s="55" t="str">
        <f t="shared" si="12"/>
        <v/>
      </c>
      <c r="J439" s="65" t="str">
        <f t="shared" si="13"/>
        <v/>
      </c>
    </row>
    <row r="440" spans="1:10">
      <c r="A440" s="55" t="str">
        <f t="shared" si="12"/>
        <v/>
      </c>
      <c r="J440" s="65" t="str">
        <f t="shared" si="13"/>
        <v/>
      </c>
    </row>
    <row r="441" spans="1:10">
      <c r="A441" s="55" t="str">
        <f t="shared" si="12"/>
        <v/>
      </c>
      <c r="J441" s="65" t="str">
        <f t="shared" si="13"/>
        <v/>
      </c>
    </row>
    <row r="442" spans="1:10">
      <c r="A442" s="55" t="str">
        <f t="shared" si="12"/>
        <v/>
      </c>
      <c r="J442" s="65" t="str">
        <f t="shared" si="13"/>
        <v/>
      </c>
    </row>
    <row r="443" spans="1:10">
      <c r="A443" s="55" t="str">
        <f t="shared" si="12"/>
        <v/>
      </c>
      <c r="J443" s="65" t="str">
        <f t="shared" si="13"/>
        <v/>
      </c>
    </row>
    <row r="444" spans="1:10">
      <c r="A444" s="55" t="str">
        <f t="shared" si="12"/>
        <v/>
      </c>
      <c r="J444" s="65" t="str">
        <f t="shared" si="13"/>
        <v/>
      </c>
    </row>
    <row r="445" spans="1:10">
      <c r="A445" s="55" t="str">
        <f t="shared" si="12"/>
        <v/>
      </c>
      <c r="J445" s="65" t="str">
        <f t="shared" si="13"/>
        <v/>
      </c>
    </row>
    <row r="446" spans="1:10">
      <c r="A446" s="55" t="str">
        <f t="shared" si="12"/>
        <v/>
      </c>
      <c r="J446" s="65" t="str">
        <f t="shared" si="13"/>
        <v/>
      </c>
    </row>
    <row r="447" spans="1:10">
      <c r="A447" s="55" t="str">
        <f t="shared" si="12"/>
        <v/>
      </c>
      <c r="J447" s="65" t="str">
        <f t="shared" si="13"/>
        <v/>
      </c>
    </row>
    <row r="448" spans="1:10">
      <c r="A448" s="55" t="str">
        <f t="shared" si="12"/>
        <v/>
      </c>
      <c r="J448" s="65" t="str">
        <f t="shared" si="13"/>
        <v/>
      </c>
    </row>
    <row r="449" spans="1:10">
      <c r="A449" s="55" t="str">
        <f t="shared" si="12"/>
        <v/>
      </c>
      <c r="J449" s="65" t="str">
        <f t="shared" si="13"/>
        <v/>
      </c>
    </row>
    <row r="450" spans="1:10">
      <c r="A450" s="55" t="str">
        <f t="shared" si="12"/>
        <v/>
      </c>
      <c r="J450" s="65" t="str">
        <f t="shared" si="13"/>
        <v/>
      </c>
    </row>
    <row r="451" spans="1:10">
      <c r="A451" s="55" t="str">
        <f t="shared" ref="A451:A514" si="14">IF(C451&lt;&gt;"",ROW(C451)-1,"")</f>
        <v/>
      </c>
      <c r="J451" s="65" t="str">
        <f t="shared" ref="J451:J514" si="15">IF(A451&lt;&gt;"",HYPERLINK("#"&amp;A451&amp;"!A1",D451),"")</f>
        <v/>
      </c>
    </row>
    <row r="452" spans="1:10">
      <c r="A452" s="55" t="str">
        <f t="shared" si="14"/>
        <v/>
      </c>
      <c r="J452" s="65" t="str">
        <f t="shared" si="15"/>
        <v/>
      </c>
    </row>
    <row r="453" spans="1:10">
      <c r="A453" s="55" t="str">
        <f t="shared" si="14"/>
        <v/>
      </c>
      <c r="J453" s="65" t="str">
        <f t="shared" si="15"/>
        <v/>
      </c>
    </row>
    <row r="454" spans="1:10">
      <c r="A454" s="55" t="str">
        <f t="shared" si="14"/>
        <v/>
      </c>
      <c r="J454" s="65" t="str">
        <f t="shared" si="15"/>
        <v/>
      </c>
    </row>
    <row r="455" spans="1:10">
      <c r="A455" s="55" t="str">
        <f t="shared" si="14"/>
        <v/>
      </c>
      <c r="J455" s="65" t="str">
        <f t="shared" si="15"/>
        <v/>
      </c>
    </row>
    <row r="456" spans="1:10">
      <c r="A456" s="55" t="str">
        <f t="shared" si="14"/>
        <v/>
      </c>
      <c r="J456" s="65" t="str">
        <f t="shared" si="15"/>
        <v/>
      </c>
    </row>
    <row r="457" spans="1:10">
      <c r="A457" s="55" t="str">
        <f t="shared" si="14"/>
        <v/>
      </c>
      <c r="J457" s="65" t="str">
        <f t="shared" si="15"/>
        <v/>
      </c>
    </row>
    <row r="458" spans="1:10">
      <c r="A458" s="55" t="str">
        <f t="shared" si="14"/>
        <v/>
      </c>
      <c r="J458" s="65" t="str">
        <f t="shared" si="15"/>
        <v/>
      </c>
    </row>
    <row r="459" spans="1:10">
      <c r="A459" s="55" t="str">
        <f t="shared" si="14"/>
        <v/>
      </c>
      <c r="J459" s="65" t="str">
        <f t="shared" si="15"/>
        <v/>
      </c>
    </row>
    <row r="460" spans="1:10">
      <c r="A460" s="55" t="str">
        <f t="shared" si="14"/>
        <v/>
      </c>
      <c r="J460" s="65" t="str">
        <f t="shared" si="15"/>
        <v/>
      </c>
    </row>
    <row r="461" spans="1:10">
      <c r="A461" s="55" t="str">
        <f t="shared" si="14"/>
        <v/>
      </c>
      <c r="J461" s="65" t="str">
        <f t="shared" si="15"/>
        <v/>
      </c>
    </row>
    <row r="462" spans="1:10">
      <c r="A462" s="55" t="str">
        <f t="shared" si="14"/>
        <v/>
      </c>
      <c r="J462" s="65" t="str">
        <f t="shared" si="15"/>
        <v/>
      </c>
    </row>
    <row r="463" spans="1:10">
      <c r="A463" s="55" t="str">
        <f t="shared" si="14"/>
        <v/>
      </c>
      <c r="J463" s="65" t="str">
        <f t="shared" si="15"/>
        <v/>
      </c>
    </row>
    <row r="464" spans="1:10">
      <c r="A464" s="55" t="str">
        <f t="shared" si="14"/>
        <v/>
      </c>
      <c r="J464" s="65" t="str">
        <f t="shared" si="15"/>
        <v/>
      </c>
    </row>
    <row r="465" spans="1:10">
      <c r="A465" s="55" t="str">
        <f t="shared" si="14"/>
        <v/>
      </c>
      <c r="J465" s="65" t="str">
        <f t="shared" si="15"/>
        <v/>
      </c>
    </row>
    <row r="466" spans="1:10">
      <c r="A466" s="55" t="str">
        <f t="shared" si="14"/>
        <v/>
      </c>
      <c r="J466" s="65" t="str">
        <f t="shared" si="15"/>
        <v/>
      </c>
    </row>
    <row r="467" spans="1:10">
      <c r="A467" s="55" t="str">
        <f t="shared" si="14"/>
        <v/>
      </c>
      <c r="J467" s="65" t="str">
        <f t="shared" si="15"/>
        <v/>
      </c>
    </row>
    <row r="468" spans="1:10">
      <c r="A468" s="55" t="str">
        <f t="shared" si="14"/>
        <v/>
      </c>
      <c r="J468" s="65" t="str">
        <f t="shared" si="15"/>
        <v/>
      </c>
    </row>
    <row r="469" spans="1:10">
      <c r="A469" s="55" t="str">
        <f t="shared" si="14"/>
        <v/>
      </c>
      <c r="J469" s="65" t="str">
        <f t="shared" si="15"/>
        <v/>
      </c>
    </row>
    <row r="470" spans="1:10">
      <c r="A470" s="55" t="str">
        <f t="shared" si="14"/>
        <v/>
      </c>
      <c r="J470" s="65" t="str">
        <f t="shared" si="15"/>
        <v/>
      </c>
    </row>
    <row r="471" spans="1:10">
      <c r="A471" s="55" t="str">
        <f t="shared" si="14"/>
        <v/>
      </c>
      <c r="J471" s="65" t="str">
        <f t="shared" si="15"/>
        <v/>
      </c>
    </row>
    <row r="472" spans="1:10">
      <c r="A472" s="55" t="str">
        <f t="shared" si="14"/>
        <v/>
      </c>
      <c r="J472" s="65" t="str">
        <f t="shared" si="15"/>
        <v/>
      </c>
    </row>
    <row r="473" spans="1:10">
      <c r="A473" s="55" t="str">
        <f t="shared" si="14"/>
        <v/>
      </c>
      <c r="J473" s="65" t="str">
        <f t="shared" si="15"/>
        <v/>
      </c>
    </row>
    <row r="474" spans="1:10">
      <c r="A474" s="55" t="str">
        <f t="shared" si="14"/>
        <v/>
      </c>
      <c r="J474" s="65" t="str">
        <f t="shared" si="15"/>
        <v/>
      </c>
    </row>
    <row r="475" spans="1:10">
      <c r="A475" s="55" t="str">
        <f t="shared" si="14"/>
        <v/>
      </c>
      <c r="J475" s="65" t="str">
        <f t="shared" si="15"/>
        <v/>
      </c>
    </row>
    <row r="476" spans="1:10">
      <c r="A476" s="55" t="str">
        <f t="shared" si="14"/>
        <v/>
      </c>
      <c r="J476" s="65" t="str">
        <f t="shared" si="15"/>
        <v/>
      </c>
    </row>
    <row r="477" spans="1:10">
      <c r="A477" s="55" t="str">
        <f t="shared" si="14"/>
        <v/>
      </c>
      <c r="J477" s="65" t="str">
        <f t="shared" si="15"/>
        <v/>
      </c>
    </row>
    <row r="478" spans="1:10">
      <c r="A478" s="55" t="str">
        <f t="shared" si="14"/>
        <v/>
      </c>
      <c r="J478" s="65" t="str">
        <f t="shared" si="15"/>
        <v/>
      </c>
    </row>
    <row r="479" spans="1:10">
      <c r="A479" s="55" t="str">
        <f t="shared" si="14"/>
        <v/>
      </c>
      <c r="J479" s="65" t="str">
        <f t="shared" si="15"/>
        <v/>
      </c>
    </row>
    <row r="480" spans="1:10">
      <c r="A480" s="55" t="str">
        <f t="shared" si="14"/>
        <v/>
      </c>
      <c r="J480" s="65" t="str">
        <f t="shared" si="15"/>
        <v/>
      </c>
    </row>
    <row r="481" spans="1:10">
      <c r="A481" s="55" t="str">
        <f t="shared" si="14"/>
        <v/>
      </c>
      <c r="J481" s="65" t="str">
        <f t="shared" si="15"/>
        <v/>
      </c>
    </row>
    <row r="482" spans="1:10">
      <c r="A482" s="55" t="str">
        <f t="shared" si="14"/>
        <v/>
      </c>
      <c r="J482" s="65" t="str">
        <f t="shared" si="15"/>
        <v/>
      </c>
    </row>
    <row r="483" spans="1:10">
      <c r="A483" s="55" t="str">
        <f t="shared" si="14"/>
        <v/>
      </c>
      <c r="J483" s="65" t="str">
        <f t="shared" si="15"/>
        <v/>
      </c>
    </row>
    <row r="484" spans="1:10">
      <c r="A484" s="55" t="str">
        <f t="shared" si="14"/>
        <v/>
      </c>
      <c r="J484" s="65" t="str">
        <f t="shared" si="15"/>
        <v/>
      </c>
    </row>
    <row r="485" spans="1:10">
      <c r="A485" s="55" t="str">
        <f t="shared" si="14"/>
        <v/>
      </c>
      <c r="J485" s="65" t="str">
        <f t="shared" si="15"/>
        <v/>
      </c>
    </row>
    <row r="486" spans="1:10">
      <c r="A486" s="55" t="str">
        <f t="shared" si="14"/>
        <v/>
      </c>
      <c r="J486" s="65" t="str">
        <f t="shared" si="15"/>
        <v/>
      </c>
    </row>
    <row r="487" spans="1:10">
      <c r="A487" s="55" t="str">
        <f t="shared" si="14"/>
        <v/>
      </c>
      <c r="J487" s="65" t="str">
        <f t="shared" si="15"/>
        <v/>
      </c>
    </row>
    <row r="488" spans="1:10">
      <c r="A488" s="55" t="str">
        <f t="shared" si="14"/>
        <v/>
      </c>
      <c r="J488" s="65" t="str">
        <f t="shared" si="15"/>
        <v/>
      </c>
    </row>
    <row r="489" spans="1:10">
      <c r="A489" s="55" t="str">
        <f t="shared" si="14"/>
        <v/>
      </c>
      <c r="J489" s="65" t="str">
        <f t="shared" si="15"/>
        <v/>
      </c>
    </row>
    <row r="490" spans="1:10">
      <c r="A490" s="55" t="str">
        <f t="shared" si="14"/>
        <v/>
      </c>
      <c r="J490" s="65" t="str">
        <f t="shared" si="15"/>
        <v/>
      </c>
    </row>
    <row r="491" spans="1:10">
      <c r="A491" s="55" t="str">
        <f t="shared" si="14"/>
        <v/>
      </c>
      <c r="J491" s="65" t="str">
        <f t="shared" si="15"/>
        <v/>
      </c>
    </row>
    <row r="492" spans="1:10">
      <c r="A492" s="55" t="str">
        <f t="shared" si="14"/>
        <v/>
      </c>
      <c r="J492" s="65" t="str">
        <f t="shared" si="15"/>
        <v/>
      </c>
    </row>
    <row r="493" spans="1:10">
      <c r="A493" s="55" t="str">
        <f t="shared" si="14"/>
        <v/>
      </c>
      <c r="J493" s="65" t="str">
        <f t="shared" si="15"/>
        <v/>
      </c>
    </row>
    <row r="494" spans="1:10">
      <c r="A494" s="55" t="str">
        <f t="shared" si="14"/>
        <v/>
      </c>
      <c r="J494" s="65" t="str">
        <f t="shared" si="15"/>
        <v/>
      </c>
    </row>
    <row r="495" spans="1:10">
      <c r="A495" s="55" t="str">
        <f t="shared" si="14"/>
        <v/>
      </c>
      <c r="J495" s="65" t="str">
        <f t="shared" si="15"/>
        <v/>
      </c>
    </row>
    <row r="496" spans="1:10">
      <c r="A496" s="55" t="str">
        <f t="shared" si="14"/>
        <v/>
      </c>
      <c r="J496" s="65" t="str">
        <f t="shared" si="15"/>
        <v/>
      </c>
    </row>
    <row r="497" spans="1:10">
      <c r="A497" s="55" t="str">
        <f t="shared" si="14"/>
        <v/>
      </c>
      <c r="J497" s="65" t="str">
        <f t="shared" si="15"/>
        <v/>
      </c>
    </row>
    <row r="498" spans="1:10">
      <c r="A498" s="55" t="str">
        <f t="shared" si="14"/>
        <v/>
      </c>
      <c r="J498" s="65" t="str">
        <f t="shared" si="15"/>
        <v/>
      </c>
    </row>
    <row r="499" spans="1:10">
      <c r="A499" s="55" t="str">
        <f t="shared" si="14"/>
        <v/>
      </c>
      <c r="J499" s="65" t="str">
        <f t="shared" si="15"/>
        <v/>
      </c>
    </row>
    <row r="500" spans="1:10">
      <c r="A500" s="55" t="str">
        <f t="shared" si="14"/>
        <v/>
      </c>
      <c r="J500" s="65" t="str">
        <f t="shared" si="15"/>
        <v/>
      </c>
    </row>
    <row r="501" spans="1:10">
      <c r="A501" s="55" t="str">
        <f t="shared" si="14"/>
        <v/>
      </c>
      <c r="J501" s="65" t="str">
        <f t="shared" si="15"/>
        <v/>
      </c>
    </row>
    <row r="502" spans="1:10">
      <c r="A502" s="55" t="str">
        <f t="shared" si="14"/>
        <v/>
      </c>
      <c r="J502" s="65" t="str">
        <f t="shared" si="15"/>
        <v/>
      </c>
    </row>
    <row r="503" spans="1:10">
      <c r="A503" s="55" t="str">
        <f t="shared" si="14"/>
        <v/>
      </c>
      <c r="J503" s="65" t="str">
        <f t="shared" si="15"/>
        <v/>
      </c>
    </row>
    <row r="504" spans="1:10">
      <c r="A504" s="55" t="str">
        <f t="shared" si="14"/>
        <v/>
      </c>
      <c r="J504" s="65" t="str">
        <f t="shared" si="15"/>
        <v/>
      </c>
    </row>
    <row r="505" spans="1:10">
      <c r="A505" s="55" t="str">
        <f t="shared" si="14"/>
        <v/>
      </c>
      <c r="J505" s="65" t="str">
        <f t="shared" si="15"/>
        <v/>
      </c>
    </row>
    <row r="506" spans="1:10">
      <c r="A506" s="55" t="str">
        <f t="shared" si="14"/>
        <v/>
      </c>
      <c r="J506" s="65" t="str">
        <f t="shared" si="15"/>
        <v/>
      </c>
    </row>
    <row r="507" spans="1:10">
      <c r="A507" s="55" t="str">
        <f t="shared" si="14"/>
        <v/>
      </c>
      <c r="J507" s="65" t="str">
        <f t="shared" si="15"/>
        <v/>
      </c>
    </row>
    <row r="508" spans="1:10">
      <c r="A508" s="55" t="str">
        <f t="shared" si="14"/>
        <v/>
      </c>
      <c r="J508" s="65" t="str">
        <f t="shared" si="15"/>
        <v/>
      </c>
    </row>
    <row r="509" spans="1:10">
      <c r="A509" s="55" t="str">
        <f t="shared" si="14"/>
        <v/>
      </c>
      <c r="J509" s="65" t="str">
        <f t="shared" si="15"/>
        <v/>
      </c>
    </row>
    <row r="510" spans="1:10">
      <c r="A510" s="55" t="str">
        <f t="shared" si="14"/>
        <v/>
      </c>
      <c r="J510" s="65" t="str">
        <f t="shared" si="15"/>
        <v/>
      </c>
    </row>
    <row r="511" spans="1:10">
      <c r="A511" s="55" t="str">
        <f t="shared" si="14"/>
        <v/>
      </c>
      <c r="J511" s="65" t="str">
        <f t="shared" si="15"/>
        <v/>
      </c>
    </row>
    <row r="512" spans="1:10">
      <c r="A512" s="55" t="str">
        <f t="shared" si="14"/>
        <v/>
      </c>
      <c r="J512" s="65" t="str">
        <f t="shared" si="15"/>
        <v/>
      </c>
    </row>
    <row r="513" spans="1:10">
      <c r="A513" s="55" t="str">
        <f t="shared" si="14"/>
        <v/>
      </c>
      <c r="J513" s="65" t="str">
        <f t="shared" si="15"/>
        <v/>
      </c>
    </row>
    <row r="514" spans="1:10">
      <c r="A514" s="55" t="str">
        <f t="shared" si="14"/>
        <v/>
      </c>
      <c r="J514" s="65" t="str">
        <f t="shared" si="15"/>
        <v/>
      </c>
    </row>
    <row r="515" spans="1:10">
      <c r="A515" s="55" t="str">
        <f t="shared" ref="A515:A578" si="16">IF(C515&lt;&gt;"",ROW(C515)-1,"")</f>
        <v/>
      </c>
      <c r="J515" s="65" t="str">
        <f t="shared" ref="J515:J578" si="17">IF(A515&lt;&gt;"",HYPERLINK("#"&amp;A515&amp;"!A1",D515),"")</f>
        <v/>
      </c>
    </row>
    <row r="516" spans="1:10">
      <c r="A516" s="55" t="str">
        <f t="shared" si="16"/>
        <v/>
      </c>
      <c r="J516" s="65" t="str">
        <f t="shared" si="17"/>
        <v/>
      </c>
    </row>
    <row r="517" spans="1:10">
      <c r="A517" s="55" t="str">
        <f t="shared" si="16"/>
        <v/>
      </c>
      <c r="J517" s="65" t="str">
        <f t="shared" si="17"/>
        <v/>
      </c>
    </row>
    <row r="518" spans="1:10">
      <c r="A518" s="55" t="str">
        <f t="shared" si="16"/>
        <v/>
      </c>
      <c r="J518" s="65" t="str">
        <f t="shared" si="17"/>
        <v/>
      </c>
    </row>
    <row r="519" spans="1:10">
      <c r="A519" s="55" t="str">
        <f t="shared" si="16"/>
        <v/>
      </c>
      <c r="J519" s="65" t="str">
        <f t="shared" si="17"/>
        <v/>
      </c>
    </row>
    <row r="520" spans="1:10">
      <c r="A520" s="55" t="str">
        <f t="shared" si="16"/>
        <v/>
      </c>
      <c r="J520" s="65" t="str">
        <f t="shared" si="17"/>
        <v/>
      </c>
    </row>
    <row r="521" spans="1:10">
      <c r="A521" s="55" t="str">
        <f t="shared" si="16"/>
        <v/>
      </c>
      <c r="J521" s="65" t="str">
        <f t="shared" si="17"/>
        <v/>
      </c>
    </row>
    <row r="522" spans="1:10">
      <c r="A522" s="55" t="str">
        <f t="shared" si="16"/>
        <v/>
      </c>
      <c r="J522" s="65" t="str">
        <f t="shared" si="17"/>
        <v/>
      </c>
    </row>
    <row r="523" spans="1:10">
      <c r="A523" s="55" t="str">
        <f t="shared" si="16"/>
        <v/>
      </c>
      <c r="J523" s="65" t="str">
        <f t="shared" si="17"/>
        <v/>
      </c>
    </row>
    <row r="524" spans="1:10">
      <c r="A524" s="55" t="str">
        <f t="shared" si="16"/>
        <v/>
      </c>
      <c r="J524" s="65" t="str">
        <f t="shared" si="17"/>
        <v/>
      </c>
    </row>
    <row r="525" spans="1:10">
      <c r="A525" s="55" t="str">
        <f t="shared" si="16"/>
        <v/>
      </c>
      <c r="J525" s="65" t="str">
        <f t="shared" si="17"/>
        <v/>
      </c>
    </row>
    <row r="526" spans="1:10">
      <c r="A526" s="55" t="str">
        <f t="shared" si="16"/>
        <v/>
      </c>
      <c r="J526" s="65" t="str">
        <f t="shared" si="17"/>
        <v/>
      </c>
    </row>
    <row r="527" spans="1:10">
      <c r="A527" s="55" t="str">
        <f t="shared" si="16"/>
        <v/>
      </c>
      <c r="J527" s="65" t="str">
        <f t="shared" si="17"/>
        <v/>
      </c>
    </row>
    <row r="528" spans="1:10">
      <c r="A528" s="55" t="str">
        <f t="shared" si="16"/>
        <v/>
      </c>
      <c r="J528" s="65" t="str">
        <f t="shared" si="17"/>
        <v/>
      </c>
    </row>
    <row r="529" spans="1:10">
      <c r="A529" s="55" t="str">
        <f t="shared" si="16"/>
        <v/>
      </c>
      <c r="J529" s="65" t="str">
        <f t="shared" si="17"/>
        <v/>
      </c>
    </row>
    <row r="530" spans="1:10">
      <c r="A530" s="55" t="str">
        <f t="shared" si="16"/>
        <v/>
      </c>
      <c r="J530" s="65" t="str">
        <f t="shared" si="17"/>
        <v/>
      </c>
    </row>
    <row r="531" spans="1:10">
      <c r="A531" s="55" t="str">
        <f t="shared" si="16"/>
        <v/>
      </c>
      <c r="J531" s="65" t="str">
        <f t="shared" si="17"/>
        <v/>
      </c>
    </row>
    <row r="532" spans="1:10">
      <c r="A532" s="55" t="str">
        <f t="shared" si="16"/>
        <v/>
      </c>
      <c r="J532" s="65" t="str">
        <f t="shared" si="17"/>
        <v/>
      </c>
    </row>
    <row r="533" spans="1:10">
      <c r="A533" s="55" t="str">
        <f t="shared" si="16"/>
        <v/>
      </c>
      <c r="J533" s="65" t="str">
        <f t="shared" si="17"/>
        <v/>
      </c>
    </row>
    <row r="534" spans="1:10">
      <c r="A534" s="55" t="str">
        <f t="shared" si="16"/>
        <v/>
      </c>
      <c r="J534" s="65" t="str">
        <f t="shared" si="17"/>
        <v/>
      </c>
    </row>
    <row r="535" spans="1:10">
      <c r="A535" s="55" t="str">
        <f t="shared" si="16"/>
        <v/>
      </c>
      <c r="J535" s="65" t="str">
        <f t="shared" si="17"/>
        <v/>
      </c>
    </row>
    <row r="536" spans="1:10">
      <c r="A536" s="55" t="str">
        <f t="shared" si="16"/>
        <v/>
      </c>
      <c r="J536" s="65" t="str">
        <f t="shared" si="17"/>
        <v/>
      </c>
    </row>
    <row r="537" spans="1:10">
      <c r="A537" s="55" t="str">
        <f t="shared" si="16"/>
        <v/>
      </c>
      <c r="J537" s="65" t="str">
        <f t="shared" si="17"/>
        <v/>
      </c>
    </row>
    <row r="538" spans="1:10">
      <c r="A538" s="55" t="str">
        <f t="shared" si="16"/>
        <v/>
      </c>
      <c r="J538" s="65" t="str">
        <f t="shared" si="17"/>
        <v/>
      </c>
    </row>
    <row r="539" spans="1:10">
      <c r="A539" s="55" t="str">
        <f t="shared" si="16"/>
        <v/>
      </c>
      <c r="J539" s="65" t="str">
        <f t="shared" si="17"/>
        <v/>
      </c>
    </row>
    <row r="540" spans="1:10">
      <c r="A540" s="55" t="str">
        <f t="shared" si="16"/>
        <v/>
      </c>
      <c r="J540" s="65" t="str">
        <f t="shared" si="17"/>
        <v/>
      </c>
    </row>
    <row r="541" spans="1:10">
      <c r="A541" s="55" t="str">
        <f t="shared" si="16"/>
        <v/>
      </c>
      <c r="J541" s="65" t="str">
        <f t="shared" si="17"/>
        <v/>
      </c>
    </row>
    <row r="542" spans="1:10">
      <c r="A542" s="55" t="str">
        <f t="shared" si="16"/>
        <v/>
      </c>
      <c r="J542" s="65" t="str">
        <f t="shared" si="17"/>
        <v/>
      </c>
    </row>
    <row r="543" spans="1:10">
      <c r="A543" s="55" t="str">
        <f t="shared" si="16"/>
        <v/>
      </c>
      <c r="J543" s="65" t="str">
        <f t="shared" si="17"/>
        <v/>
      </c>
    </row>
    <row r="544" spans="1:10">
      <c r="A544" s="55" t="str">
        <f t="shared" si="16"/>
        <v/>
      </c>
      <c r="J544" s="65" t="str">
        <f t="shared" si="17"/>
        <v/>
      </c>
    </row>
    <row r="545" spans="1:10">
      <c r="A545" s="55" t="str">
        <f t="shared" si="16"/>
        <v/>
      </c>
      <c r="J545" s="65" t="str">
        <f t="shared" si="17"/>
        <v/>
      </c>
    </row>
    <row r="546" spans="1:10">
      <c r="A546" s="55" t="str">
        <f t="shared" si="16"/>
        <v/>
      </c>
      <c r="J546" s="65" t="str">
        <f t="shared" si="17"/>
        <v/>
      </c>
    </row>
    <row r="547" spans="1:10">
      <c r="A547" s="55" t="str">
        <f t="shared" si="16"/>
        <v/>
      </c>
      <c r="J547" s="65" t="str">
        <f t="shared" si="17"/>
        <v/>
      </c>
    </row>
    <row r="548" spans="1:10">
      <c r="A548" s="55" t="str">
        <f t="shared" si="16"/>
        <v/>
      </c>
      <c r="J548" s="65" t="str">
        <f t="shared" si="17"/>
        <v/>
      </c>
    </row>
    <row r="549" spans="1:10">
      <c r="A549" s="55" t="str">
        <f t="shared" si="16"/>
        <v/>
      </c>
      <c r="J549" s="65" t="str">
        <f t="shared" si="17"/>
        <v/>
      </c>
    </row>
    <row r="550" spans="1:10">
      <c r="A550" s="55" t="str">
        <f t="shared" si="16"/>
        <v/>
      </c>
      <c r="J550" s="65" t="str">
        <f t="shared" si="17"/>
        <v/>
      </c>
    </row>
    <row r="551" spans="1:10">
      <c r="A551" s="55" t="str">
        <f t="shared" si="16"/>
        <v/>
      </c>
      <c r="J551" s="65" t="str">
        <f t="shared" si="17"/>
        <v/>
      </c>
    </row>
    <row r="552" spans="1:10">
      <c r="A552" s="55" t="str">
        <f t="shared" si="16"/>
        <v/>
      </c>
      <c r="J552" s="65" t="str">
        <f t="shared" si="17"/>
        <v/>
      </c>
    </row>
    <row r="553" spans="1:10">
      <c r="A553" s="55" t="str">
        <f t="shared" si="16"/>
        <v/>
      </c>
      <c r="J553" s="65" t="str">
        <f t="shared" si="17"/>
        <v/>
      </c>
    </row>
    <row r="554" spans="1:10">
      <c r="A554" s="55" t="str">
        <f t="shared" si="16"/>
        <v/>
      </c>
      <c r="J554" s="65" t="str">
        <f t="shared" si="17"/>
        <v/>
      </c>
    </row>
    <row r="555" spans="1:10">
      <c r="A555" s="55" t="str">
        <f t="shared" si="16"/>
        <v/>
      </c>
      <c r="J555" s="65" t="str">
        <f t="shared" si="17"/>
        <v/>
      </c>
    </row>
    <row r="556" spans="1:10">
      <c r="A556" s="55" t="str">
        <f t="shared" si="16"/>
        <v/>
      </c>
      <c r="J556" s="65" t="str">
        <f t="shared" si="17"/>
        <v/>
      </c>
    </row>
    <row r="557" spans="1:10">
      <c r="A557" s="55" t="str">
        <f t="shared" si="16"/>
        <v/>
      </c>
      <c r="J557" s="65" t="str">
        <f t="shared" si="17"/>
        <v/>
      </c>
    </row>
    <row r="558" spans="1:10">
      <c r="A558" s="55" t="str">
        <f t="shared" si="16"/>
        <v/>
      </c>
      <c r="J558" s="65" t="str">
        <f t="shared" si="17"/>
        <v/>
      </c>
    </row>
    <row r="559" spans="1:10">
      <c r="A559" s="55" t="str">
        <f t="shared" si="16"/>
        <v/>
      </c>
      <c r="J559" s="65" t="str">
        <f t="shared" si="17"/>
        <v/>
      </c>
    </row>
    <row r="560" spans="1:10">
      <c r="A560" s="55" t="str">
        <f t="shared" si="16"/>
        <v/>
      </c>
      <c r="J560" s="65" t="str">
        <f t="shared" si="17"/>
        <v/>
      </c>
    </row>
    <row r="561" spans="1:10">
      <c r="A561" s="55" t="str">
        <f t="shared" si="16"/>
        <v/>
      </c>
      <c r="J561" s="65" t="str">
        <f t="shared" si="17"/>
        <v/>
      </c>
    </row>
    <row r="562" spans="1:10">
      <c r="A562" s="55" t="str">
        <f t="shared" si="16"/>
        <v/>
      </c>
      <c r="J562" s="65" t="str">
        <f t="shared" si="17"/>
        <v/>
      </c>
    </row>
    <row r="563" spans="1:10">
      <c r="A563" s="55" t="str">
        <f t="shared" si="16"/>
        <v/>
      </c>
      <c r="J563" s="65" t="str">
        <f t="shared" si="17"/>
        <v/>
      </c>
    </row>
    <row r="564" spans="1:10">
      <c r="A564" s="55" t="str">
        <f t="shared" si="16"/>
        <v/>
      </c>
      <c r="J564" s="65" t="str">
        <f t="shared" si="17"/>
        <v/>
      </c>
    </row>
    <row r="565" spans="1:10">
      <c r="A565" s="55" t="str">
        <f t="shared" si="16"/>
        <v/>
      </c>
      <c r="J565" s="65" t="str">
        <f t="shared" si="17"/>
        <v/>
      </c>
    </row>
    <row r="566" spans="1:10">
      <c r="A566" s="55" t="str">
        <f t="shared" si="16"/>
        <v/>
      </c>
      <c r="J566" s="65" t="str">
        <f t="shared" si="17"/>
        <v/>
      </c>
    </row>
    <row r="567" spans="1:10">
      <c r="A567" s="55" t="str">
        <f t="shared" si="16"/>
        <v/>
      </c>
      <c r="J567" s="65" t="str">
        <f t="shared" si="17"/>
        <v/>
      </c>
    </row>
    <row r="568" spans="1:10">
      <c r="A568" s="55" t="str">
        <f t="shared" si="16"/>
        <v/>
      </c>
      <c r="J568" s="65" t="str">
        <f t="shared" si="17"/>
        <v/>
      </c>
    </row>
    <row r="569" spans="1:10">
      <c r="A569" s="55" t="str">
        <f t="shared" si="16"/>
        <v/>
      </c>
      <c r="J569" s="65" t="str">
        <f t="shared" si="17"/>
        <v/>
      </c>
    </row>
    <row r="570" spans="1:10">
      <c r="A570" s="55" t="str">
        <f t="shared" si="16"/>
        <v/>
      </c>
      <c r="J570" s="65" t="str">
        <f t="shared" si="17"/>
        <v/>
      </c>
    </row>
    <row r="571" spans="1:10">
      <c r="A571" s="55" t="str">
        <f t="shared" si="16"/>
        <v/>
      </c>
      <c r="J571" s="65" t="str">
        <f t="shared" si="17"/>
        <v/>
      </c>
    </row>
    <row r="572" spans="1:10">
      <c r="A572" s="55" t="str">
        <f t="shared" si="16"/>
        <v/>
      </c>
      <c r="J572" s="65" t="str">
        <f t="shared" si="17"/>
        <v/>
      </c>
    </row>
    <row r="573" spans="1:10">
      <c r="A573" s="55" t="str">
        <f t="shared" si="16"/>
        <v/>
      </c>
      <c r="J573" s="65" t="str">
        <f t="shared" si="17"/>
        <v/>
      </c>
    </row>
    <row r="574" spans="1:10">
      <c r="A574" s="55" t="str">
        <f t="shared" si="16"/>
        <v/>
      </c>
      <c r="J574" s="65" t="str">
        <f t="shared" si="17"/>
        <v/>
      </c>
    </row>
    <row r="575" spans="1:10">
      <c r="A575" s="55" t="str">
        <f t="shared" si="16"/>
        <v/>
      </c>
      <c r="J575" s="65" t="str">
        <f t="shared" si="17"/>
        <v/>
      </c>
    </row>
    <row r="576" spans="1:10">
      <c r="A576" s="55" t="str">
        <f t="shared" si="16"/>
        <v/>
      </c>
      <c r="J576" s="65" t="str">
        <f t="shared" si="17"/>
        <v/>
      </c>
    </row>
    <row r="577" spans="1:10">
      <c r="A577" s="55" t="str">
        <f t="shared" si="16"/>
        <v/>
      </c>
      <c r="J577" s="65" t="str">
        <f t="shared" si="17"/>
        <v/>
      </c>
    </row>
    <row r="578" spans="1:10">
      <c r="A578" s="55" t="str">
        <f t="shared" si="16"/>
        <v/>
      </c>
      <c r="J578" s="65" t="str">
        <f t="shared" si="17"/>
        <v/>
      </c>
    </row>
    <row r="579" spans="1:10">
      <c r="A579" s="55" t="str">
        <f t="shared" ref="A579:A642" si="18">IF(C579&lt;&gt;"",ROW(C579)-1,"")</f>
        <v/>
      </c>
      <c r="J579" s="65" t="str">
        <f t="shared" ref="J579:J642" si="19">IF(A579&lt;&gt;"",HYPERLINK("#"&amp;A579&amp;"!A1",D579),"")</f>
        <v/>
      </c>
    </row>
    <row r="580" spans="1:10">
      <c r="A580" s="55" t="str">
        <f t="shared" si="18"/>
        <v/>
      </c>
      <c r="J580" s="65" t="str">
        <f t="shared" si="19"/>
        <v/>
      </c>
    </row>
    <row r="581" spans="1:10">
      <c r="A581" s="55" t="str">
        <f t="shared" si="18"/>
        <v/>
      </c>
      <c r="J581" s="65" t="str">
        <f t="shared" si="19"/>
        <v/>
      </c>
    </row>
    <row r="582" spans="1:10">
      <c r="A582" s="55" t="str">
        <f t="shared" si="18"/>
        <v/>
      </c>
      <c r="J582" s="65" t="str">
        <f t="shared" si="19"/>
        <v/>
      </c>
    </row>
    <row r="583" spans="1:10">
      <c r="A583" s="55" t="str">
        <f t="shared" si="18"/>
        <v/>
      </c>
      <c r="J583" s="65" t="str">
        <f t="shared" si="19"/>
        <v/>
      </c>
    </row>
    <row r="584" spans="1:10">
      <c r="A584" s="55" t="str">
        <f t="shared" si="18"/>
        <v/>
      </c>
      <c r="J584" s="65" t="str">
        <f t="shared" si="19"/>
        <v/>
      </c>
    </row>
    <row r="585" spans="1:10">
      <c r="A585" s="55" t="str">
        <f t="shared" si="18"/>
        <v/>
      </c>
      <c r="J585" s="65" t="str">
        <f t="shared" si="19"/>
        <v/>
      </c>
    </row>
    <row r="586" spans="1:10">
      <c r="A586" s="55" t="str">
        <f t="shared" si="18"/>
        <v/>
      </c>
      <c r="J586" s="65" t="str">
        <f t="shared" si="19"/>
        <v/>
      </c>
    </row>
    <row r="587" spans="1:10">
      <c r="A587" s="55" t="str">
        <f t="shared" si="18"/>
        <v/>
      </c>
      <c r="J587" s="65" t="str">
        <f t="shared" si="19"/>
        <v/>
      </c>
    </row>
    <row r="588" spans="1:10">
      <c r="A588" s="55" t="str">
        <f t="shared" si="18"/>
        <v/>
      </c>
      <c r="J588" s="65" t="str">
        <f t="shared" si="19"/>
        <v/>
      </c>
    </row>
    <row r="589" spans="1:10">
      <c r="A589" s="55" t="str">
        <f t="shared" si="18"/>
        <v/>
      </c>
      <c r="J589" s="65" t="str">
        <f t="shared" si="19"/>
        <v/>
      </c>
    </row>
    <row r="590" spans="1:10">
      <c r="A590" s="55" t="str">
        <f t="shared" si="18"/>
        <v/>
      </c>
      <c r="J590" s="65" t="str">
        <f t="shared" si="19"/>
        <v/>
      </c>
    </row>
    <row r="591" spans="1:10">
      <c r="A591" s="55" t="str">
        <f t="shared" si="18"/>
        <v/>
      </c>
      <c r="J591" s="65" t="str">
        <f t="shared" si="19"/>
        <v/>
      </c>
    </row>
    <row r="592" spans="1:10">
      <c r="A592" s="55" t="str">
        <f t="shared" si="18"/>
        <v/>
      </c>
      <c r="J592" s="65" t="str">
        <f t="shared" si="19"/>
        <v/>
      </c>
    </row>
    <row r="593" spans="1:10">
      <c r="A593" s="55" t="str">
        <f t="shared" si="18"/>
        <v/>
      </c>
      <c r="J593" s="65" t="str">
        <f t="shared" si="19"/>
        <v/>
      </c>
    </row>
    <row r="594" spans="1:10">
      <c r="A594" s="55" t="str">
        <f t="shared" si="18"/>
        <v/>
      </c>
      <c r="J594" s="65" t="str">
        <f t="shared" si="19"/>
        <v/>
      </c>
    </row>
    <row r="595" spans="1:10">
      <c r="A595" s="55" t="str">
        <f t="shared" si="18"/>
        <v/>
      </c>
      <c r="J595" s="65" t="str">
        <f t="shared" si="19"/>
        <v/>
      </c>
    </row>
    <row r="596" spans="1:10">
      <c r="A596" s="55" t="str">
        <f t="shared" si="18"/>
        <v/>
      </c>
      <c r="J596" s="65" t="str">
        <f t="shared" si="19"/>
        <v/>
      </c>
    </row>
    <row r="597" spans="1:10">
      <c r="A597" s="55" t="str">
        <f t="shared" si="18"/>
        <v/>
      </c>
      <c r="J597" s="65" t="str">
        <f t="shared" si="19"/>
        <v/>
      </c>
    </row>
    <row r="598" spans="1:10">
      <c r="A598" s="55" t="str">
        <f t="shared" si="18"/>
        <v/>
      </c>
      <c r="J598" s="65" t="str">
        <f t="shared" si="19"/>
        <v/>
      </c>
    </row>
    <row r="599" spans="1:10">
      <c r="A599" s="55" t="str">
        <f t="shared" si="18"/>
        <v/>
      </c>
      <c r="J599" s="65" t="str">
        <f t="shared" si="19"/>
        <v/>
      </c>
    </row>
    <row r="600" spans="1:10">
      <c r="A600" s="55" t="str">
        <f t="shared" si="18"/>
        <v/>
      </c>
      <c r="J600" s="65" t="str">
        <f t="shared" si="19"/>
        <v/>
      </c>
    </row>
    <row r="601" spans="1:10">
      <c r="A601" s="55" t="str">
        <f t="shared" si="18"/>
        <v/>
      </c>
      <c r="J601" s="65" t="str">
        <f t="shared" si="19"/>
        <v/>
      </c>
    </row>
    <row r="602" spans="1:10">
      <c r="A602" s="55" t="str">
        <f t="shared" si="18"/>
        <v/>
      </c>
      <c r="J602" s="65" t="str">
        <f t="shared" si="19"/>
        <v/>
      </c>
    </row>
    <row r="603" spans="1:10">
      <c r="A603" s="55" t="str">
        <f t="shared" si="18"/>
        <v/>
      </c>
      <c r="J603" s="65" t="str">
        <f t="shared" si="19"/>
        <v/>
      </c>
    </row>
    <row r="604" spans="1:10">
      <c r="A604" s="55" t="str">
        <f t="shared" si="18"/>
        <v/>
      </c>
      <c r="J604" s="65" t="str">
        <f t="shared" si="19"/>
        <v/>
      </c>
    </row>
    <row r="605" spans="1:10">
      <c r="A605" s="55" t="str">
        <f t="shared" si="18"/>
        <v/>
      </c>
      <c r="J605" s="65" t="str">
        <f t="shared" si="19"/>
        <v/>
      </c>
    </row>
    <row r="606" spans="1:10">
      <c r="A606" s="55" t="str">
        <f t="shared" si="18"/>
        <v/>
      </c>
      <c r="J606" s="65" t="str">
        <f t="shared" si="19"/>
        <v/>
      </c>
    </row>
    <row r="607" spans="1:10">
      <c r="A607" s="55" t="str">
        <f t="shared" si="18"/>
        <v/>
      </c>
      <c r="J607" s="65" t="str">
        <f t="shared" si="19"/>
        <v/>
      </c>
    </row>
    <row r="608" spans="1:10">
      <c r="A608" s="55" t="str">
        <f t="shared" si="18"/>
        <v/>
      </c>
      <c r="J608" s="65" t="str">
        <f t="shared" si="19"/>
        <v/>
      </c>
    </row>
    <row r="609" spans="1:10">
      <c r="A609" s="55" t="str">
        <f t="shared" si="18"/>
        <v/>
      </c>
      <c r="J609" s="65" t="str">
        <f t="shared" si="19"/>
        <v/>
      </c>
    </row>
    <row r="610" spans="1:10">
      <c r="A610" s="55" t="str">
        <f t="shared" si="18"/>
        <v/>
      </c>
      <c r="J610" s="65" t="str">
        <f t="shared" si="19"/>
        <v/>
      </c>
    </row>
    <row r="611" spans="1:10">
      <c r="A611" s="55" t="str">
        <f t="shared" si="18"/>
        <v/>
      </c>
      <c r="J611" s="65" t="str">
        <f t="shared" si="19"/>
        <v/>
      </c>
    </row>
    <row r="612" spans="1:10">
      <c r="A612" s="55" t="str">
        <f t="shared" si="18"/>
        <v/>
      </c>
      <c r="J612" s="65" t="str">
        <f t="shared" si="19"/>
        <v/>
      </c>
    </row>
    <row r="613" spans="1:10">
      <c r="A613" s="55" t="str">
        <f t="shared" si="18"/>
        <v/>
      </c>
      <c r="J613" s="65" t="str">
        <f t="shared" si="19"/>
        <v/>
      </c>
    </row>
    <row r="614" spans="1:10">
      <c r="A614" s="55" t="str">
        <f t="shared" si="18"/>
        <v/>
      </c>
      <c r="J614" s="65" t="str">
        <f t="shared" si="19"/>
        <v/>
      </c>
    </row>
    <row r="615" spans="1:10">
      <c r="A615" s="55" t="str">
        <f t="shared" si="18"/>
        <v/>
      </c>
      <c r="J615" s="65" t="str">
        <f t="shared" si="19"/>
        <v/>
      </c>
    </row>
    <row r="616" spans="1:10">
      <c r="A616" s="55" t="str">
        <f t="shared" si="18"/>
        <v/>
      </c>
      <c r="J616" s="65" t="str">
        <f t="shared" si="19"/>
        <v/>
      </c>
    </row>
    <row r="617" spans="1:10">
      <c r="A617" s="55" t="str">
        <f t="shared" si="18"/>
        <v/>
      </c>
      <c r="J617" s="65" t="str">
        <f t="shared" si="19"/>
        <v/>
      </c>
    </row>
    <row r="618" spans="1:10">
      <c r="A618" s="55" t="str">
        <f t="shared" si="18"/>
        <v/>
      </c>
      <c r="J618" s="65" t="str">
        <f t="shared" si="19"/>
        <v/>
      </c>
    </row>
    <row r="619" spans="1:10">
      <c r="A619" s="55" t="str">
        <f t="shared" si="18"/>
        <v/>
      </c>
      <c r="J619" s="65" t="str">
        <f t="shared" si="19"/>
        <v/>
      </c>
    </row>
    <row r="620" spans="1:10">
      <c r="A620" s="55" t="str">
        <f t="shared" si="18"/>
        <v/>
      </c>
      <c r="J620" s="65" t="str">
        <f t="shared" si="19"/>
        <v/>
      </c>
    </row>
    <row r="621" spans="1:10">
      <c r="A621" s="55" t="str">
        <f t="shared" si="18"/>
        <v/>
      </c>
      <c r="J621" s="65" t="str">
        <f t="shared" si="19"/>
        <v/>
      </c>
    </row>
    <row r="622" spans="1:10">
      <c r="A622" s="55" t="str">
        <f t="shared" si="18"/>
        <v/>
      </c>
      <c r="J622" s="65" t="str">
        <f t="shared" si="19"/>
        <v/>
      </c>
    </row>
    <row r="623" spans="1:10">
      <c r="A623" s="55" t="str">
        <f t="shared" si="18"/>
        <v/>
      </c>
      <c r="J623" s="65" t="str">
        <f t="shared" si="19"/>
        <v/>
      </c>
    </row>
    <row r="624" spans="1:10">
      <c r="A624" s="55" t="str">
        <f t="shared" si="18"/>
        <v/>
      </c>
      <c r="J624" s="65" t="str">
        <f t="shared" si="19"/>
        <v/>
      </c>
    </row>
    <row r="625" spans="1:10">
      <c r="A625" s="55" t="str">
        <f t="shared" si="18"/>
        <v/>
      </c>
      <c r="J625" s="65" t="str">
        <f t="shared" si="19"/>
        <v/>
      </c>
    </row>
    <row r="626" spans="1:10">
      <c r="A626" s="55" t="str">
        <f t="shared" si="18"/>
        <v/>
      </c>
      <c r="J626" s="65" t="str">
        <f t="shared" si="19"/>
        <v/>
      </c>
    </row>
    <row r="627" spans="1:10">
      <c r="A627" s="55" t="str">
        <f t="shared" si="18"/>
        <v/>
      </c>
      <c r="J627" s="65" t="str">
        <f t="shared" si="19"/>
        <v/>
      </c>
    </row>
    <row r="628" spans="1:10">
      <c r="A628" s="55" t="str">
        <f t="shared" si="18"/>
        <v/>
      </c>
      <c r="J628" s="65" t="str">
        <f t="shared" si="19"/>
        <v/>
      </c>
    </row>
    <row r="629" spans="1:10">
      <c r="A629" s="55" t="str">
        <f t="shared" si="18"/>
        <v/>
      </c>
      <c r="J629" s="65" t="str">
        <f t="shared" si="19"/>
        <v/>
      </c>
    </row>
    <row r="630" spans="1:10">
      <c r="A630" s="55" t="str">
        <f t="shared" si="18"/>
        <v/>
      </c>
      <c r="J630" s="65" t="str">
        <f t="shared" si="19"/>
        <v/>
      </c>
    </row>
    <row r="631" spans="1:10">
      <c r="A631" s="55" t="str">
        <f t="shared" si="18"/>
        <v/>
      </c>
      <c r="J631" s="65" t="str">
        <f t="shared" si="19"/>
        <v/>
      </c>
    </row>
    <row r="632" spans="1:10">
      <c r="A632" s="55" t="str">
        <f t="shared" si="18"/>
        <v/>
      </c>
      <c r="J632" s="65" t="str">
        <f t="shared" si="19"/>
        <v/>
      </c>
    </row>
    <row r="633" spans="1:10">
      <c r="A633" s="55" t="str">
        <f t="shared" si="18"/>
        <v/>
      </c>
      <c r="J633" s="65" t="str">
        <f t="shared" si="19"/>
        <v/>
      </c>
    </row>
    <row r="634" spans="1:10">
      <c r="A634" s="55" t="str">
        <f t="shared" si="18"/>
        <v/>
      </c>
      <c r="J634" s="65" t="str">
        <f t="shared" si="19"/>
        <v/>
      </c>
    </row>
    <row r="635" spans="1:10">
      <c r="A635" s="55" t="str">
        <f t="shared" si="18"/>
        <v/>
      </c>
      <c r="J635" s="65" t="str">
        <f t="shared" si="19"/>
        <v/>
      </c>
    </row>
    <row r="636" spans="1:10">
      <c r="A636" s="55" t="str">
        <f t="shared" si="18"/>
        <v/>
      </c>
      <c r="J636" s="65" t="str">
        <f t="shared" si="19"/>
        <v/>
      </c>
    </row>
    <row r="637" spans="1:10">
      <c r="A637" s="55" t="str">
        <f t="shared" si="18"/>
        <v/>
      </c>
      <c r="J637" s="65" t="str">
        <f t="shared" si="19"/>
        <v/>
      </c>
    </row>
    <row r="638" spans="1:10">
      <c r="A638" s="55" t="str">
        <f t="shared" si="18"/>
        <v/>
      </c>
      <c r="J638" s="65" t="str">
        <f t="shared" si="19"/>
        <v/>
      </c>
    </row>
    <row r="639" spans="1:10">
      <c r="A639" s="55" t="str">
        <f t="shared" si="18"/>
        <v/>
      </c>
      <c r="J639" s="65" t="str">
        <f t="shared" si="19"/>
        <v/>
      </c>
    </row>
    <row r="640" spans="1:10">
      <c r="A640" s="55" t="str">
        <f t="shared" si="18"/>
        <v/>
      </c>
      <c r="J640" s="65" t="str">
        <f t="shared" si="19"/>
        <v/>
      </c>
    </row>
    <row r="641" spans="1:10">
      <c r="A641" s="55" t="str">
        <f t="shared" si="18"/>
        <v/>
      </c>
      <c r="J641" s="65" t="str">
        <f t="shared" si="19"/>
        <v/>
      </c>
    </row>
    <row r="642" spans="1:10">
      <c r="A642" s="55" t="str">
        <f t="shared" si="18"/>
        <v/>
      </c>
      <c r="J642" s="65" t="str">
        <f t="shared" si="19"/>
        <v/>
      </c>
    </row>
    <row r="643" spans="1:10">
      <c r="A643" s="55" t="str">
        <f t="shared" ref="A643:A706" si="20">IF(C643&lt;&gt;"",ROW(C643)-1,"")</f>
        <v/>
      </c>
      <c r="J643" s="65" t="str">
        <f t="shared" ref="J643:J706" si="21">IF(A643&lt;&gt;"",HYPERLINK("#"&amp;A643&amp;"!A1",D643),"")</f>
        <v/>
      </c>
    </row>
    <row r="644" spans="1:10">
      <c r="A644" s="55" t="str">
        <f t="shared" si="20"/>
        <v/>
      </c>
      <c r="J644" s="65" t="str">
        <f t="shared" si="21"/>
        <v/>
      </c>
    </row>
    <row r="645" spans="1:10">
      <c r="A645" s="55" t="str">
        <f t="shared" si="20"/>
        <v/>
      </c>
      <c r="J645" s="65" t="str">
        <f t="shared" si="21"/>
        <v/>
      </c>
    </row>
    <row r="646" spans="1:10">
      <c r="A646" s="55" t="str">
        <f t="shared" si="20"/>
        <v/>
      </c>
      <c r="J646" s="65" t="str">
        <f t="shared" si="21"/>
        <v/>
      </c>
    </row>
    <row r="647" spans="1:10">
      <c r="A647" s="55" t="str">
        <f t="shared" si="20"/>
        <v/>
      </c>
      <c r="J647" s="65" t="str">
        <f t="shared" si="21"/>
        <v/>
      </c>
    </row>
    <row r="648" spans="1:10">
      <c r="A648" s="55" t="str">
        <f t="shared" si="20"/>
        <v/>
      </c>
      <c r="J648" s="65" t="str">
        <f t="shared" si="21"/>
        <v/>
      </c>
    </row>
    <row r="649" spans="1:10">
      <c r="A649" s="55" t="str">
        <f t="shared" si="20"/>
        <v/>
      </c>
      <c r="J649" s="65" t="str">
        <f t="shared" si="21"/>
        <v/>
      </c>
    </row>
    <row r="650" spans="1:10">
      <c r="A650" s="55" t="str">
        <f t="shared" si="20"/>
        <v/>
      </c>
      <c r="J650" s="65" t="str">
        <f t="shared" si="21"/>
        <v/>
      </c>
    </row>
    <row r="651" spans="1:10">
      <c r="A651" s="55" t="str">
        <f t="shared" si="20"/>
        <v/>
      </c>
      <c r="J651" s="65" t="str">
        <f t="shared" si="21"/>
        <v/>
      </c>
    </row>
    <row r="652" spans="1:10">
      <c r="A652" s="55" t="str">
        <f t="shared" si="20"/>
        <v/>
      </c>
      <c r="J652" s="65" t="str">
        <f t="shared" si="21"/>
        <v/>
      </c>
    </row>
    <row r="653" spans="1:10">
      <c r="A653" s="55" t="str">
        <f t="shared" si="20"/>
        <v/>
      </c>
      <c r="J653" s="65" t="str">
        <f t="shared" si="21"/>
        <v/>
      </c>
    </row>
    <row r="654" spans="1:10">
      <c r="A654" s="55" t="str">
        <f t="shared" si="20"/>
        <v/>
      </c>
      <c r="J654" s="65" t="str">
        <f t="shared" si="21"/>
        <v/>
      </c>
    </row>
    <row r="655" spans="1:10">
      <c r="A655" s="55" t="str">
        <f t="shared" si="20"/>
        <v/>
      </c>
      <c r="J655" s="65" t="str">
        <f t="shared" si="21"/>
        <v/>
      </c>
    </row>
    <row r="656" spans="1:10">
      <c r="A656" s="55" t="str">
        <f t="shared" si="20"/>
        <v/>
      </c>
      <c r="J656" s="65" t="str">
        <f t="shared" si="21"/>
        <v/>
      </c>
    </row>
    <row r="657" spans="1:10">
      <c r="A657" s="55" t="str">
        <f t="shared" si="20"/>
        <v/>
      </c>
      <c r="J657" s="65" t="str">
        <f t="shared" si="21"/>
        <v/>
      </c>
    </row>
    <row r="658" spans="1:10">
      <c r="A658" s="55" t="str">
        <f t="shared" si="20"/>
        <v/>
      </c>
      <c r="J658" s="65" t="str">
        <f t="shared" si="21"/>
        <v/>
      </c>
    </row>
    <row r="659" spans="1:10">
      <c r="A659" s="55" t="str">
        <f t="shared" si="20"/>
        <v/>
      </c>
      <c r="J659" s="65" t="str">
        <f t="shared" si="21"/>
        <v/>
      </c>
    </row>
    <row r="660" spans="1:10">
      <c r="A660" s="55" t="str">
        <f t="shared" si="20"/>
        <v/>
      </c>
      <c r="J660" s="65" t="str">
        <f t="shared" si="21"/>
        <v/>
      </c>
    </row>
    <row r="661" spans="1:10">
      <c r="A661" s="55" t="str">
        <f t="shared" si="20"/>
        <v/>
      </c>
      <c r="J661" s="65" t="str">
        <f t="shared" si="21"/>
        <v/>
      </c>
    </row>
    <row r="662" spans="1:10">
      <c r="A662" s="55" t="str">
        <f t="shared" si="20"/>
        <v/>
      </c>
      <c r="J662" s="65" t="str">
        <f t="shared" si="21"/>
        <v/>
      </c>
    </row>
    <row r="663" spans="1:10">
      <c r="A663" s="55" t="str">
        <f t="shared" si="20"/>
        <v/>
      </c>
      <c r="J663" s="65" t="str">
        <f t="shared" si="21"/>
        <v/>
      </c>
    </row>
    <row r="664" spans="1:10">
      <c r="A664" s="55" t="str">
        <f t="shared" si="20"/>
        <v/>
      </c>
      <c r="J664" s="65" t="str">
        <f t="shared" si="21"/>
        <v/>
      </c>
    </row>
    <row r="665" spans="1:10">
      <c r="A665" s="55" t="str">
        <f t="shared" si="20"/>
        <v/>
      </c>
      <c r="J665" s="65" t="str">
        <f t="shared" si="21"/>
        <v/>
      </c>
    </row>
    <row r="666" spans="1:10">
      <c r="A666" s="55" t="str">
        <f t="shared" si="20"/>
        <v/>
      </c>
      <c r="J666" s="65" t="str">
        <f t="shared" si="21"/>
        <v/>
      </c>
    </row>
    <row r="667" spans="1:10">
      <c r="A667" s="55" t="str">
        <f t="shared" si="20"/>
        <v/>
      </c>
      <c r="J667" s="65" t="str">
        <f t="shared" si="21"/>
        <v/>
      </c>
    </row>
    <row r="668" spans="1:10">
      <c r="A668" s="55" t="str">
        <f t="shared" si="20"/>
        <v/>
      </c>
      <c r="J668" s="65" t="str">
        <f t="shared" si="21"/>
        <v/>
      </c>
    </row>
    <row r="669" spans="1:10">
      <c r="A669" s="55" t="str">
        <f t="shared" si="20"/>
        <v/>
      </c>
      <c r="J669" s="65" t="str">
        <f t="shared" si="21"/>
        <v/>
      </c>
    </row>
    <row r="670" spans="1:10">
      <c r="A670" s="55" t="str">
        <f t="shared" si="20"/>
        <v/>
      </c>
      <c r="J670" s="65" t="str">
        <f t="shared" si="21"/>
        <v/>
      </c>
    </row>
    <row r="671" spans="1:10">
      <c r="A671" s="55" t="str">
        <f t="shared" si="20"/>
        <v/>
      </c>
      <c r="J671" s="65" t="str">
        <f t="shared" si="21"/>
        <v/>
      </c>
    </row>
    <row r="672" spans="1:10">
      <c r="A672" s="55" t="str">
        <f t="shared" si="20"/>
        <v/>
      </c>
      <c r="J672" s="65" t="str">
        <f t="shared" si="21"/>
        <v/>
      </c>
    </row>
    <row r="673" spans="1:10">
      <c r="A673" s="55" t="str">
        <f t="shared" si="20"/>
        <v/>
      </c>
      <c r="J673" s="65" t="str">
        <f t="shared" si="21"/>
        <v/>
      </c>
    </row>
    <row r="674" spans="1:10">
      <c r="A674" s="55" t="str">
        <f t="shared" si="20"/>
        <v/>
      </c>
      <c r="J674" s="65" t="str">
        <f t="shared" si="21"/>
        <v/>
      </c>
    </row>
    <row r="675" spans="1:10">
      <c r="A675" s="55" t="str">
        <f t="shared" si="20"/>
        <v/>
      </c>
      <c r="J675" s="65" t="str">
        <f t="shared" si="21"/>
        <v/>
      </c>
    </row>
    <row r="676" spans="1:10">
      <c r="A676" s="55" t="str">
        <f t="shared" si="20"/>
        <v/>
      </c>
      <c r="J676" s="65" t="str">
        <f t="shared" si="21"/>
        <v/>
      </c>
    </row>
    <row r="677" spans="1:10">
      <c r="A677" s="55" t="str">
        <f t="shared" si="20"/>
        <v/>
      </c>
      <c r="J677" s="65" t="str">
        <f t="shared" si="21"/>
        <v/>
      </c>
    </row>
    <row r="678" spans="1:10">
      <c r="A678" s="55" t="str">
        <f t="shared" si="20"/>
        <v/>
      </c>
      <c r="J678" s="65" t="str">
        <f t="shared" si="21"/>
        <v/>
      </c>
    </row>
    <row r="679" spans="1:10">
      <c r="A679" s="55" t="str">
        <f t="shared" si="20"/>
        <v/>
      </c>
      <c r="J679" s="65" t="str">
        <f t="shared" si="21"/>
        <v/>
      </c>
    </row>
    <row r="680" spans="1:10">
      <c r="A680" s="55" t="str">
        <f t="shared" si="20"/>
        <v/>
      </c>
      <c r="J680" s="65" t="str">
        <f t="shared" si="21"/>
        <v/>
      </c>
    </row>
    <row r="681" spans="1:10">
      <c r="A681" s="55" t="str">
        <f t="shared" si="20"/>
        <v/>
      </c>
      <c r="J681" s="65" t="str">
        <f t="shared" si="21"/>
        <v/>
      </c>
    </row>
    <row r="682" spans="1:10">
      <c r="A682" s="55" t="str">
        <f t="shared" si="20"/>
        <v/>
      </c>
      <c r="J682" s="65" t="str">
        <f t="shared" si="21"/>
        <v/>
      </c>
    </row>
    <row r="683" spans="1:10">
      <c r="A683" s="55" t="str">
        <f t="shared" si="20"/>
        <v/>
      </c>
      <c r="J683" s="65" t="str">
        <f t="shared" si="21"/>
        <v/>
      </c>
    </row>
    <row r="684" spans="1:10">
      <c r="A684" s="55" t="str">
        <f t="shared" si="20"/>
        <v/>
      </c>
      <c r="J684" s="65" t="str">
        <f t="shared" si="21"/>
        <v/>
      </c>
    </row>
    <row r="685" spans="1:10">
      <c r="A685" s="55" t="str">
        <f t="shared" si="20"/>
        <v/>
      </c>
      <c r="J685" s="65" t="str">
        <f t="shared" si="21"/>
        <v/>
      </c>
    </row>
    <row r="686" spans="1:10">
      <c r="A686" s="55" t="str">
        <f t="shared" si="20"/>
        <v/>
      </c>
      <c r="J686" s="65" t="str">
        <f t="shared" si="21"/>
        <v/>
      </c>
    </row>
    <row r="687" spans="1:10">
      <c r="A687" s="55" t="str">
        <f t="shared" si="20"/>
        <v/>
      </c>
      <c r="J687" s="65" t="str">
        <f t="shared" si="21"/>
        <v/>
      </c>
    </row>
    <row r="688" spans="1:10">
      <c r="A688" s="55" t="str">
        <f t="shared" si="20"/>
        <v/>
      </c>
      <c r="J688" s="65" t="str">
        <f t="shared" si="21"/>
        <v/>
      </c>
    </row>
    <row r="689" spans="1:10">
      <c r="A689" s="55" t="str">
        <f t="shared" si="20"/>
        <v/>
      </c>
      <c r="J689" s="65" t="str">
        <f t="shared" si="21"/>
        <v/>
      </c>
    </row>
    <row r="690" spans="1:10">
      <c r="A690" s="55" t="str">
        <f t="shared" si="20"/>
        <v/>
      </c>
      <c r="J690" s="65" t="str">
        <f t="shared" si="21"/>
        <v/>
      </c>
    </row>
    <row r="691" spans="1:10">
      <c r="A691" s="55" t="str">
        <f t="shared" si="20"/>
        <v/>
      </c>
      <c r="J691" s="65" t="str">
        <f t="shared" si="21"/>
        <v/>
      </c>
    </row>
    <row r="692" spans="1:10">
      <c r="A692" s="55" t="str">
        <f t="shared" si="20"/>
        <v/>
      </c>
      <c r="J692" s="65" t="str">
        <f t="shared" si="21"/>
        <v/>
      </c>
    </row>
    <row r="693" spans="1:10">
      <c r="A693" s="55" t="str">
        <f t="shared" si="20"/>
        <v/>
      </c>
      <c r="J693" s="65" t="str">
        <f t="shared" si="21"/>
        <v/>
      </c>
    </row>
    <row r="694" spans="1:10">
      <c r="A694" s="55" t="str">
        <f t="shared" si="20"/>
        <v/>
      </c>
      <c r="J694" s="65" t="str">
        <f t="shared" si="21"/>
        <v/>
      </c>
    </row>
    <row r="695" spans="1:10">
      <c r="A695" s="55" t="str">
        <f t="shared" si="20"/>
        <v/>
      </c>
      <c r="J695" s="65" t="str">
        <f t="shared" si="21"/>
        <v/>
      </c>
    </row>
    <row r="696" spans="1:10">
      <c r="A696" s="55" t="str">
        <f t="shared" si="20"/>
        <v/>
      </c>
      <c r="J696" s="65" t="str">
        <f t="shared" si="21"/>
        <v/>
      </c>
    </row>
    <row r="697" spans="1:10">
      <c r="A697" s="55" t="str">
        <f t="shared" si="20"/>
        <v/>
      </c>
      <c r="J697" s="65" t="str">
        <f t="shared" si="21"/>
        <v/>
      </c>
    </row>
    <row r="698" spans="1:10">
      <c r="A698" s="55" t="str">
        <f t="shared" si="20"/>
        <v/>
      </c>
      <c r="J698" s="65" t="str">
        <f t="shared" si="21"/>
        <v/>
      </c>
    </row>
    <row r="699" spans="1:10">
      <c r="A699" s="55" t="str">
        <f t="shared" si="20"/>
        <v/>
      </c>
      <c r="J699" s="65" t="str">
        <f t="shared" si="21"/>
        <v/>
      </c>
    </row>
    <row r="700" spans="1:10">
      <c r="A700" s="55" t="str">
        <f t="shared" si="20"/>
        <v/>
      </c>
      <c r="J700" s="65" t="str">
        <f t="shared" si="21"/>
        <v/>
      </c>
    </row>
    <row r="701" spans="1:10">
      <c r="A701" s="55" t="str">
        <f t="shared" si="20"/>
        <v/>
      </c>
      <c r="J701" s="65" t="str">
        <f t="shared" si="21"/>
        <v/>
      </c>
    </row>
    <row r="702" spans="1:10">
      <c r="A702" s="55" t="str">
        <f t="shared" si="20"/>
        <v/>
      </c>
      <c r="J702" s="65" t="str">
        <f t="shared" si="21"/>
        <v/>
      </c>
    </row>
    <row r="703" spans="1:10">
      <c r="A703" s="55" t="str">
        <f t="shared" si="20"/>
        <v/>
      </c>
      <c r="J703" s="65" t="str">
        <f t="shared" si="21"/>
        <v/>
      </c>
    </row>
    <row r="704" spans="1:10">
      <c r="A704" s="55" t="str">
        <f t="shared" si="20"/>
        <v/>
      </c>
      <c r="J704" s="65" t="str">
        <f t="shared" si="21"/>
        <v/>
      </c>
    </row>
    <row r="705" spans="1:10">
      <c r="A705" s="55" t="str">
        <f t="shared" si="20"/>
        <v/>
      </c>
      <c r="J705" s="65" t="str">
        <f t="shared" si="21"/>
        <v/>
      </c>
    </row>
    <row r="706" spans="1:10">
      <c r="A706" s="55" t="str">
        <f t="shared" si="20"/>
        <v/>
      </c>
      <c r="J706" s="65" t="str">
        <f t="shared" si="21"/>
        <v/>
      </c>
    </row>
    <row r="707" spans="1:10">
      <c r="A707" s="55" t="str">
        <f t="shared" ref="A707:A770" si="22">IF(C707&lt;&gt;"",ROW(C707)-1,"")</f>
        <v/>
      </c>
      <c r="J707" s="65" t="str">
        <f t="shared" ref="J707:J770" si="23">IF(A707&lt;&gt;"",HYPERLINK("#"&amp;A707&amp;"!A1",D707),"")</f>
        <v/>
      </c>
    </row>
    <row r="708" spans="1:10">
      <c r="A708" s="55" t="str">
        <f t="shared" si="22"/>
        <v/>
      </c>
      <c r="J708" s="65" t="str">
        <f t="shared" si="23"/>
        <v/>
      </c>
    </row>
    <row r="709" spans="1:10">
      <c r="A709" s="55" t="str">
        <f t="shared" si="22"/>
        <v/>
      </c>
      <c r="J709" s="65" t="str">
        <f t="shared" si="23"/>
        <v/>
      </c>
    </row>
    <row r="710" spans="1:10">
      <c r="A710" s="55" t="str">
        <f t="shared" si="22"/>
        <v/>
      </c>
      <c r="J710" s="65" t="str">
        <f t="shared" si="23"/>
        <v/>
      </c>
    </row>
    <row r="711" spans="1:10">
      <c r="A711" s="55" t="str">
        <f t="shared" si="22"/>
        <v/>
      </c>
      <c r="J711" s="65" t="str">
        <f t="shared" si="23"/>
        <v/>
      </c>
    </row>
    <row r="712" spans="1:10">
      <c r="A712" s="55" t="str">
        <f t="shared" si="22"/>
        <v/>
      </c>
      <c r="J712" s="65" t="str">
        <f t="shared" si="23"/>
        <v/>
      </c>
    </row>
    <row r="713" spans="1:10">
      <c r="A713" s="55" t="str">
        <f t="shared" si="22"/>
        <v/>
      </c>
      <c r="J713" s="65" t="str">
        <f t="shared" si="23"/>
        <v/>
      </c>
    </row>
    <row r="714" spans="1:10">
      <c r="A714" s="55" t="str">
        <f t="shared" si="22"/>
        <v/>
      </c>
      <c r="J714" s="65" t="str">
        <f t="shared" si="23"/>
        <v/>
      </c>
    </row>
    <row r="715" spans="1:10">
      <c r="A715" s="55" t="str">
        <f t="shared" si="22"/>
        <v/>
      </c>
      <c r="J715" s="65" t="str">
        <f t="shared" si="23"/>
        <v/>
      </c>
    </row>
    <row r="716" spans="1:10">
      <c r="A716" s="55" t="str">
        <f t="shared" si="22"/>
        <v/>
      </c>
      <c r="J716" s="65" t="str">
        <f t="shared" si="23"/>
        <v/>
      </c>
    </row>
    <row r="717" spans="1:10">
      <c r="A717" s="55" t="str">
        <f t="shared" si="22"/>
        <v/>
      </c>
      <c r="J717" s="65" t="str">
        <f t="shared" si="23"/>
        <v/>
      </c>
    </row>
    <row r="718" spans="1:10">
      <c r="A718" s="55" t="str">
        <f t="shared" si="22"/>
        <v/>
      </c>
      <c r="J718" s="65" t="str">
        <f t="shared" si="23"/>
        <v/>
      </c>
    </row>
    <row r="719" spans="1:10">
      <c r="A719" s="55" t="str">
        <f t="shared" si="22"/>
        <v/>
      </c>
      <c r="J719" s="65" t="str">
        <f t="shared" si="23"/>
        <v/>
      </c>
    </row>
    <row r="720" spans="1:10">
      <c r="A720" s="55" t="str">
        <f t="shared" si="22"/>
        <v/>
      </c>
      <c r="J720" s="65" t="str">
        <f t="shared" si="23"/>
        <v/>
      </c>
    </row>
    <row r="721" spans="1:10">
      <c r="A721" s="55" t="str">
        <f t="shared" si="22"/>
        <v/>
      </c>
      <c r="J721" s="65" t="str">
        <f t="shared" si="23"/>
        <v/>
      </c>
    </row>
    <row r="722" spans="1:10">
      <c r="A722" s="55" t="str">
        <f t="shared" si="22"/>
        <v/>
      </c>
      <c r="J722" s="65" t="str">
        <f t="shared" si="23"/>
        <v/>
      </c>
    </row>
    <row r="723" spans="1:10">
      <c r="A723" s="55" t="str">
        <f t="shared" si="22"/>
        <v/>
      </c>
      <c r="J723" s="65" t="str">
        <f t="shared" si="23"/>
        <v/>
      </c>
    </row>
    <row r="724" spans="1:10">
      <c r="A724" s="55" t="str">
        <f t="shared" si="22"/>
        <v/>
      </c>
      <c r="J724" s="65" t="str">
        <f t="shared" si="23"/>
        <v/>
      </c>
    </row>
    <row r="725" spans="1:10">
      <c r="A725" s="55" t="str">
        <f t="shared" si="22"/>
        <v/>
      </c>
      <c r="J725" s="65" t="str">
        <f t="shared" si="23"/>
        <v/>
      </c>
    </row>
    <row r="726" spans="1:10">
      <c r="A726" s="55" t="str">
        <f t="shared" si="22"/>
        <v/>
      </c>
      <c r="J726" s="65" t="str">
        <f t="shared" si="23"/>
        <v/>
      </c>
    </row>
    <row r="727" spans="1:10">
      <c r="A727" s="55" t="str">
        <f t="shared" si="22"/>
        <v/>
      </c>
      <c r="J727" s="65" t="str">
        <f t="shared" si="23"/>
        <v/>
      </c>
    </row>
    <row r="728" spans="1:10">
      <c r="A728" s="55" t="str">
        <f t="shared" si="22"/>
        <v/>
      </c>
      <c r="J728" s="65" t="str">
        <f t="shared" si="23"/>
        <v/>
      </c>
    </row>
    <row r="729" spans="1:10">
      <c r="A729" s="55" t="str">
        <f t="shared" si="22"/>
        <v/>
      </c>
      <c r="J729" s="65" t="str">
        <f t="shared" si="23"/>
        <v/>
      </c>
    </row>
    <row r="730" spans="1:10">
      <c r="A730" s="55" t="str">
        <f t="shared" si="22"/>
        <v/>
      </c>
      <c r="J730" s="65" t="str">
        <f t="shared" si="23"/>
        <v/>
      </c>
    </row>
    <row r="731" spans="1:10">
      <c r="A731" s="55" t="str">
        <f t="shared" si="22"/>
        <v/>
      </c>
      <c r="J731" s="65" t="str">
        <f t="shared" si="23"/>
        <v/>
      </c>
    </row>
    <row r="732" spans="1:10">
      <c r="A732" s="55" t="str">
        <f t="shared" si="22"/>
        <v/>
      </c>
      <c r="J732" s="65" t="str">
        <f t="shared" si="23"/>
        <v/>
      </c>
    </row>
    <row r="733" spans="1:10">
      <c r="A733" s="55" t="str">
        <f t="shared" si="22"/>
        <v/>
      </c>
      <c r="J733" s="65" t="str">
        <f t="shared" si="23"/>
        <v/>
      </c>
    </row>
    <row r="734" spans="1:10">
      <c r="A734" s="55" t="str">
        <f t="shared" si="22"/>
        <v/>
      </c>
      <c r="J734" s="65" t="str">
        <f t="shared" si="23"/>
        <v/>
      </c>
    </row>
    <row r="735" spans="1:10">
      <c r="A735" s="55" t="str">
        <f t="shared" si="22"/>
        <v/>
      </c>
      <c r="J735" s="65" t="str">
        <f t="shared" si="23"/>
        <v/>
      </c>
    </row>
    <row r="736" spans="1:10">
      <c r="A736" s="55" t="str">
        <f t="shared" si="22"/>
        <v/>
      </c>
      <c r="J736" s="65" t="str">
        <f t="shared" si="23"/>
        <v/>
      </c>
    </row>
    <row r="737" spans="1:10">
      <c r="A737" s="55" t="str">
        <f t="shared" si="22"/>
        <v/>
      </c>
      <c r="J737" s="65" t="str">
        <f t="shared" si="23"/>
        <v/>
      </c>
    </row>
    <row r="738" spans="1:10">
      <c r="A738" s="55" t="str">
        <f t="shared" si="22"/>
        <v/>
      </c>
      <c r="J738" s="65" t="str">
        <f t="shared" si="23"/>
        <v/>
      </c>
    </row>
    <row r="739" spans="1:10">
      <c r="A739" s="55" t="str">
        <f t="shared" si="22"/>
        <v/>
      </c>
      <c r="J739" s="65" t="str">
        <f t="shared" si="23"/>
        <v/>
      </c>
    </row>
    <row r="740" spans="1:10">
      <c r="A740" s="55" t="str">
        <f t="shared" si="22"/>
        <v/>
      </c>
      <c r="J740" s="65" t="str">
        <f t="shared" si="23"/>
        <v/>
      </c>
    </row>
    <row r="741" spans="1:10">
      <c r="A741" s="55" t="str">
        <f t="shared" si="22"/>
        <v/>
      </c>
      <c r="J741" s="65" t="str">
        <f t="shared" si="23"/>
        <v/>
      </c>
    </row>
    <row r="742" spans="1:10">
      <c r="A742" s="55" t="str">
        <f t="shared" si="22"/>
        <v/>
      </c>
      <c r="J742" s="65" t="str">
        <f t="shared" si="23"/>
        <v/>
      </c>
    </row>
    <row r="743" spans="1:10">
      <c r="A743" s="55" t="str">
        <f t="shared" si="22"/>
        <v/>
      </c>
      <c r="J743" s="65" t="str">
        <f t="shared" si="23"/>
        <v/>
      </c>
    </row>
    <row r="744" spans="1:10">
      <c r="A744" s="55" t="str">
        <f t="shared" si="22"/>
        <v/>
      </c>
      <c r="J744" s="65" t="str">
        <f t="shared" si="23"/>
        <v/>
      </c>
    </row>
    <row r="745" spans="1:10">
      <c r="A745" s="55" t="str">
        <f t="shared" si="22"/>
        <v/>
      </c>
      <c r="J745" s="65" t="str">
        <f t="shared" si="23"/>
        <v/>
      </c>
    </row>
    <row r="746" spans="1:10">
      <c r="A746" s="55" t="str">
        <f t="shared" si="22"/>
        <v/>
      </c>
      <c r="J746" s="65" t="str">
        <f t="shared" si="23"/>
        <v/>
      </c>
    </row>
    <row r="747" spans="1:10">
      <c r="A747" s="55" t="str">
        <f t="shared" si="22"/>
        <v/>
      </c>
      <c r="J747" s="65" t="str">
        <f t="shared" si="23"/>
        <v/>
      </c>
    </row>
    <row r="748" spans="1:10">
      <c r="A748" s="55" t="str">
        <f t="shared" si="22"/>
        <v/>
      </c>
      <c r="J748" s="65" t="str">
        <f t="shared" si="23"/>
        <v/>
      </c>
    </row>
    <row r="749" spans="1:10">
      <c r="A749" s="55" t="str">
        <f t="shared" si="22"/>
        <v/>
      </c>
      <c r="J749" s="65" t="str">
        <f t="shared" si="23"/>
        <v/>
      </c>
    </row>
    <row r="750" spans="1:10">
      <c r="A750" s="55" t="str">
        <f t="shared" si="22"/>
        <v/>
      </c>
      <c r="J750" s="65" t="str">
        <f t="shared" si="23"/>
        <v/>
      </c>
    </row>
    <row r="751" spans="1:10">
      <c r="A751" s="55" t="str">
        <f t="shared" si="22"/>
        <v/>
      </c>
      <c r="J751" s="65" t="str">
        <f t="shared" si="23"/>
        <v/>
      </c>
    </row>
    <row r="752" spans="1:10">
      <c r="A752" s="55" t="str">
        <f t="shared" si="22"/>
        <v/>
      </c>
      <c r="J752" s="65" t="str">
        <f t="shared" si="23"/>
        <v/>
      </c>
    </row>
    <row r="753" spans="1:10">
      <c r="A753" s="55" t="str">
        <f t="shared" si="22"/>
        <v/>
      </c>
      <c r="J753" s="65" t="str">
        <f t="shared" si="23"/>
        <v/>
      </c>
    </row>
    <row r="754" spans="1:10">
      <c r="A754" s="55" t="str">
        <f t="shared" si="22"/>
        <v/>
      </c>
      <c r="J754" s="65" t="str">
        <f t="shared" si="23"/>
        <v/>
      </c>
    </row>
    <row r="755" spans="1:10">
      <c r="A755" s="55" t="str">
        <f t="shared" si="22"/>
        <v/>
      </c>
      <c r="J755" s="65" t="str">
        <f t="shared" si="23"/>
        <v/>
      </c>
    </row>
    <row r="756" spans="1:10">
      <c r="A756" s="55" t="str">
        <f t="shared" si="22"/>
        <v/>
      </c>
      <c r="J756" s="65" t="str">
        <f t="shared" si="23"/>
        <v/>
      </c>
    </row>
    <row r="757" spans="1:10">
      <c r="A757" s="55" t="str">
        <f t="shared" si="22"/>
        <v/>
      </c>
      <c r="J757" s="65" t="str">
        <f t="shared" si="23"/>
        <v/>
      </c>
    </row>
    <row r="758" spans="1:10">
      <c r="A758" s="55" t="str">
        <f t="shared" si="22"/>
        <v/>
      </c>
      <c r="J758" s="65" t="str">
        <f t="shared" si="23"/>
        <v/>
      </c>
    </row>
    <row r="759" spans="1:10">
      <c r="A759" s="55" t="str">
        <f t="shared" si="22"/>
        <v/>
      </c>
      <c r="J759" s="65" t="str">
        <f t="shared" si="23"/>
        <v/>
      </c>
    </row>
    <row r="760" spans="1:10">
      <c r="A760" s="55" t="str">
        <f t="shared" si="22"/>
        <v/>
      </c>
      <c r="J760" s="65" t="str">
        <f t="shared" si="23"/>
        <v/>
      </c>
    </row>
    <row r="761" spans="1:10">
      <c r="A761" s="55" t="str">
        <f t="shared" si="22"/>
        <v/>
      </c>
      <c r="J761" s="65" t="str">
        <f t="shared" si="23"/>
        <v/>
      </c>
    </row>
    <row r="762" spans="1:10">
      <c r="A762" s="55" t="str">
        <f t="shared" si="22"/>
        <v/>
      </c>
      <c r="J762" s="65" t="str">
        <f t="shared" si="23"/>
        <v/>
      </c>
    </row>
    <row r="763" spans="1:10">
      <c r="A763" s="55" t="str">
        <f t="shared" si="22"/>
        <v/>
      </c>
      <c r="J763" s="65" t="str">
        <f t="shared" si="23"/>
        <v/>
      </c>
    </row>
    <row r="764" spans="1:10">
      <c r="A764" s="55" t="str">
        <f t="shared" si="22"/>
        <v/>
      </c>
      <c r="J764" s="65" t="str">
        <f t="shared" si="23"/>
        <v/>
      </c>
    </row>
    <row r="765" spans="1:10">
      <c r="A765" s="55" t="str">
        <f t="shared" si="22"/>
        <v/>
      </c>
      <c r="J765" s="65" t="str">
        <f t="shared" si="23"/>
        <v/>
      </c>
    </row>
    <row r="766" spans="1:10">
      <c r="A766" s="55" t="str">
        <f t="shared" si="22"/>
        <v/>
      </c>
      <c r="J766" s="65" t="str">
        <f t="shared" si="23"/>
        <v/>
      </c>
    </row>
    <row r="767" spans="1:10">
      <c r="A767" s="55" t="str">
        <f t="shared" si="22"/>
        <v/>
      </c>
      <c r="J767" s="65" t="str">
        <f t="shared" si="23"/>
        <v/>
      </c>
    </row>
    <row r="768" spans="1:10">
      <c r="A768" s="55" t="str">
        <f t="shared" si="22"/>
        <v/>
      </c>
      <c r="J768" s="65" t="str">
        <f t="shared" si="23"/>
        <v/>
      </c>
    </row>
    <row r="769" spans="1:10">
      <c r="A769" s="55" t="str">
        <f t="shared" si="22"/>
        <v/>
      </c>
      <c r="J769" s="65" t="str">
        <f t="shared" si="23"/>
        <v/>
      </c>
    </row>
    <row r="770" spans="1:10">
      <c r="A770" s="55" t="str">
        <f t="shared" si="22"/>
        <v/>
      </c>
      <c r="J770" s="65" t="str">
        <f t="shared" si="23"/>
        <v/>
      </c>
    </row>
    <row r="771" spans="1:10">
      <c r="A771" s="55" t="str">
        <f t="shared" ref="A771:A834" si="24">IF(C771&lt;&gt;"",ROW(C771)-1,"")</f>
        <v/>
      </c>
      <c r="J771" s="65" t="str">
        <f t="shared" ref="J771:J834" si="25">IF(A771&lt;&gt;"",HYPERLINK("#"&amp;A771&amp;"!A1",D771),"")</f>
        <v/>
      </c>
    </row>
    <row r="772" spans="1:10">
      <c r="A772" s="55" t="str">
        <f t="shared" si="24"/>
        <v/>
      </c>
      <c r="J772" s="65" t="str">
        <f t="shared" si="25"/>
        <v/>
      </c>
    </row>
    <row r="773" spans="1:10">
      <c r="A773" s="55" t="str">
        <f t="shared" si="24"/>
        <v/>
      </c>
      <c r="J773" s="65" t="str">
        <f t="shared" si="25"/>
        <v/>
      </c>
    </row>
    <row r="774" spans="1:10">
      <c r="A774" s="55" t="str">
        <f t="shared" si="24"/>
        <v/>
      </c>
      <c r="J774" s="65" t="str">
        <f t="shared" si="25"/>
        <v/>
      </c>
    </row>
    <row r="775" spans="1:10">
      <c r="A775" s="55" t="str">
        <f t="shared" si="24"/>
        <v/>
      </c>
      <c r="J775" s="65" t="str">
        <f t="shared" si="25"/>
        <v/>
      </c>
    </row>
    <row r="776" spans="1:10">
      <c r="A776" s="55" t="str">
        <f t="shared" si="24"/>
        <v/>
      </c>
      <c r="J776" s="65" t="str">
        <f t="shared" si="25"/>
        <v/>
      </c>
    </row>
    <row r="777" spans="1:10">
      <c r="A777" s="55" t="str">
        <f t="shared" si="24"/>
        <v/>
      </c>
      <c r="J777" s="65" t="str">
        <f t="shared" si="25"/>
        <v/>
      </c>
    </row>
    <row r="778" spans="1:10">
      <c r="A778" s="55" t="str">
        <f t="shared" si="24"/>
        <v/>
      </c>
      <c r="J778" s="65" t="str">
        <f t="shared" si="25"/>
        <v/>
      </c>
    </row>
    <row r="779" spans="1:10">
      <c r="A779" s="55" t="str">
        <f t="shared" si="24"/>
        <v/>
      </c>
      <c r="J779" s="65" t="str">
        <f t="shared" si="25"/>
        <v/>
      </c>
    </row>
    <row r="780" spans="1:10">
      <c r="A780" s="55" t="str">
        <f t="shared" si="24"/>
        <v/>
      </c>
      <c r="J780" s="65" t="str">
        <f t="shared" si="25"/>
        <v/>
      </c>
    </row>
    <row r="781" spans="1:10">
      <c r="A781" s="55" t="str">
        <f t="shared" si="24"/>
        <v/>
      </c>
      <c r="J781" s="65" t="str">
        <f t="shared" si="25"/>
        <v/>
      </c>
    </row>
    <row r="782" spans="1:10">
      <c r="A782" s="55" t="str">
        <f t="shared" si="24"/>
        <v/>
      </c>
      <c r="J782" s="65" t="str">
        <f t="shared" si="25"/>
        <v/>
      </c>
    </row>
    <row r="783" spans="1:10">
      <c r="A783" s="55" t="str">
        <f t="shared" si="24"/>
        <v/>
      </c>
      <c r="J783" s="65" t="str">
        <f t="shared" si="25"/>
        <v/>
      </c>
    </row>
    <row r="784" spans="1:10">
      <c r="A784" s="55" t="str">
        <f t="shared" si="24"/>
        <v/>
      </c>
      <c r="J784" s="65" t="str">
        <f t="shared" si="25"/>
        <v/>
      </c>
    </row>
    <row r="785" spans="1:10">
      <c r="A785" s="55" t="str">
        <f t="shared" si="24"/>
        <v/>
      </c>
      <c r="J785" s="65" t="str">
        <f t="shared" si="25"/>
        <v/>
      </c>
    </row>
    <row r="786" spans="1:10">
      <c r="A786" s="55" t="str">
        <f t="shared" si="24"/>
        <v/>
      </c>
      <c r="J786" s="65" t="str">
        <f t="shared" si="25"/>
        <v/>
      </c>
    </row>
    <row r="787" spans="1:10">
      <c r="A787" s="55" t="str">
        <f t="shared" si="24"/>
        <v/>
      </c>
      <c r="J787" s="65" t="str">
        <f t="shared" si="25"/>
        <v/>
      </c>
    </row>
    <row r="788" spans="1:10">
      <c r="A788" s="55" t="str">
        <f t="shared" si="24"/>
        <v/>
      </c>
      <c r="J788" s="65" t="str">
        <f t="shared" si="25"/>
        <v/>
      </c>
    </row>
    <row r="789" spans="1:10">
      <c r="A789" s="55" t="str">
        <f t="shared" si="24"/>
        <v/>
      </c>
      <c r="J789" s="65" t="str">
        <f t="shared" si="25"/>
        <v/>
      </c>
    </row>
    <row r="790" spans="1:10">
      <c r="A790" s="55" t="str">
        <f t="shared" si="24"/>
        <v/>
      </c>
      <c r="J790" s="65" t="str">
        <f t="shared" si="25"/>
        <v/>
      </c>
    </row>
    <row r="791" spans="1:10">
      <c r="A791" s="55" t="str">
        <f t="shared" si="24"/>
        <v/>
      </c>
      <c r="J791" s="65" t="str">
        <f t="shared" si="25"/>
        <v/>
      </c>
    </row>
    <row r="792" spans="1:10">
      <c r="A792" s="55" t="str">
        <f t="shared" si="24"/>
        <v/>
      </c>
      <c r="J792" s="65" t="str">
        <f t="shared" si="25"/>
        <v/>
      </c>
    </row>
    <row r="793" spans="1:10">
      <c r="A793" s="55" t="str">
        <f t="shared" si="24"/>
        <v/>
      </c>
      <c r="J793" s="65" t="str">
        <f t="shared" si="25"/>
        <v/>
      </c>
    </row>
    <row r="794" spans="1:10">
      <c r="A794" s="55" t="str">
        <f t="shared" si="24"/>
        <v/>
      </c>
      <c r="J794" s="65" t="str">
        <f t="shared" si="25"/>
        <v/>
      </c>
    </row>
    <row r="795" spans="1:10">
      <c r="A795" s="55" t="str">
        <f t="shared" si="24"/>
        <v/>
      </c>
      <c r="J795" s="65" t="str">
        <f t="shared" si="25"/>
        <v/>
      </c>
    </row>
    <row r="796" spans="1:10">
      <c r="A796" s="55" t="str">
        <f t="shared" si="24"/>
        <v/>
      </c>
      <c r="J796" s="65" t="str">
        <f t="shared" si="25"/>
        <v/>
      </c>
    </row>
    <row r="797" spans="1:10">
      <c r="A797" s="55" t="str">
        <f t="shared" si="24"/>
        <v/>
      </c>
      <c r="J797" s="65" t="str">
        <f t="shared" si="25"/>
        <v/>
      </c>
    </row>
    <row r="798" spans="1:10">
      <c r="A798" s="55" t="str">
        <f t="shared" si="24"/>
        <v/>
      </c>
      <c r="J798" s="65" t="str">
        <f t="shared" si="25"/>
        <v/>
      </c>
    </row>
    <row r="799" spans="1:10">
      <c r="A799" s="55" t="str">
        <f t="shared" si="24"/>
        <v/>
      </c>
      <c r="J799" s="65" t="str">
        <f t="shared" si="25"/>
        <v/>
      </c>
    </row>
    <row r="800" spans="1:10">
      <c r="A800" s="55" t="str">
        <f t="shared" si="24"/>
        <v/>
      </c>
      <c r="J800" s="65" t="str">
        <f t="shared" si="25"/>
        <v/>
      </c>
    </row>
    <row r="801" spans="1:10">
      <c r="A801" s="55" t="str">
        <f t="shared" si="24"/>
        <v/>
      </c>
      <c r="J801" s="65" t="str">
        <f t="shared" si="25"/>
        <v/>
      </c>
    </row>
    <row r="802" spans="1:10">
      <c r="A802" s="55" t="str">
        <f t="shared" si="24"/>
        <v/>
      </c>
      <c r="J802" s="65" t="str">
        <f t="shared" si="25"/>
        <v/>
      </c>
    </row>
    <row r="803" spans="1:10">
      <c r="A803" s="55" t="str">
        <f t="shared" si="24"/>
        <v/>
      </c>
      <c r="J803" s="65" t="str">
        <f t="shared" si="25"/>
        <v/>
      </c>
    </row>
    <row r="804" spans="1:10">
      <c r="A804" s="55" t="str">
        <f t="shared" si="24"/>
        <v/>
      </c>
      <c r="J804" s="65" t="str">
        <f t="shared" si="25"/>
        <v/>
      </c>
    </row>
    <row r="805" spans="1:10">
      <c r="A805" s="55" t="str">
        <f t="shared" si="24"/>
        <v/>
      </c>
      <c r="J805" s="65" t="str">
        <f t="shared" si="25"/>
        <v/>
      </c>
    </row>
    <row r="806" spans="1:10">
      <c r="A806" s="55" t="str">
        <f t="shared" si="24"/>
        <v/>
      </c>
      <c r="J806" s="65" t="str">
        <f t="shared" si="25"/>
        <v/>
      </c>
    </row>
    <row r="807" spans="1:10">
      <c r="A807" s="55" t="str">
        <f t="shared" si="24"/>
        <v/>
      </c>
      <c r="J807" s="65" t="str">
        <f t="shared" si="25"/>
        <v/>
      </c>
    </row>
    <row r="808" spans="1:10">
      <c r="A808" s="55" t="str">
        <f t="shared" si="24"/>
        <v/>
      </c>
      <c r="J808" s="65" t="str">
        <f t="shared" si="25"/>
        <v/>
      </c>
    </row>
    <row r="809" spans="1:10">
      <c r="A809" s="55" t="str">
        <f t="shared" si="24"/>
        <v/>
      </c>
      <c r="J809" s="65" t="str">
        <f t="shared" si="25"/>
        <v/>
      </c>
    </row>
    <row r="810" spans="1:10">
      <c r="A810" s="55" t="str">
        <f t="shared" si="24"/>
        <v/>
      </c>
      <c r="J810" s="65" t="str">
        <f t="shared" si="25"/>
        <v/>
      </c>
    </row>
    <row r="811" spans="1:10">
      <c r="A811" s="55" t="str">
        <f t="shared" si="24"/>
        <v/>
      </c>
      <c r="J811" s="65" t="str">
        <f t="shared" si="25"/>
        <v/>
      </c>
    </row>
    <row r="812" spans="1:10">
      <c r="A812" s="55" t="str">
        <f t="shared" si="24"/>
        <v/>
      </c>
      <c r="J812" s="65" t="str">
        <f t="shared" si="25"/>
        <v/>
      </c>
    </row>
    <row r="813" spans="1:10">
      <c r="A813" s="55" t="str">
        <f t="shared" si="24"/>
        <v/>
      </c>
      <c r="J813" s="65" t="str">
        <f t="shared" si="25"/>
        <v/>
      </c>
    </row>
    <row r="814" spans="1:10">
      <c r="A814" s="55" t="str">
        <f t="shared" si="24"/>
        <v/>
      </c>
      <c r="J814" s="65" t="str">
        <f t="shared" si="25"/>
        <v/>
      </c>
    </row>
    <row r="815" spans="1:10">
      <c r="A815" s="55" t="str">
        <f t="shared" si="24"/>
        <v/>
      </c>
      <c r="J815" s="65" t="str">
        <f t="shared" si="25"/>
        <v/>
      </c>
    </row>
    <row r="816" spans="1:10">
      <c r="A816" s="55" t="str">
        <f t="shared" si="24"/>
        <v/>
      </c>
      <c r="J816" s="65" t="str">
        <f t="shared" si="25"/>
        <v/>
      </c>
    </row>
    <row r="817" spans="1:10">
      <c r="A817" s="55" t="str">
        <f t="shared" si="24"/>
        <v/>
      </c>
      <c r="J817" s="65" t="str">
        <f t="shared" si="25"/>
        <v/>
      </c>
    </row>
    <row r="818" spans="1:10">
      <c r="A818" s="55" t="str">
        <f t="shared" si="24"/>
        <v/>
      </c>
      <c r="J818" s="65" t="str">
        <f t="shared" si="25"/>
        <v/>
      </c>
    </row>
    <row r="819" spans="1:10">
      <c r="A819" s="55" t="str">
        <f t="shared" si="24"/>
        <v/>
      </c>
      <c r="J819" s="65" t="str">
        <f t="shared" si="25"/>
        <v/>
      </c>
    </row>
    <row r="820" spans="1:10">
      <c r="A820" s="55" t="str">
        <f t="shared" si="24"/>
        <v/>
      </c>
      <c r="J820" s="65" t="str">
        <f t="shared" si="25"/>
        <v/>
      </c>
    </row>
    <row r="821" spans="1:10">
      <c r="A821" s="55" t="str">
        <f t="shared" si="24"/>
        <v/>
      </c>
      <c r="J821" s="65" t="str">
        <f t="shared" si="25"/>
        <v/>
      </c>
    </row>
    <row r="822" spans="1:10">
      <c r="A822" s="55" t="str">
        <f t="shared" si="24"/>
        <v/>
      </c>
      <c r="J822" s="65" t="str">
        <f t="shared" si="25"/>
        <v/>
      </c>
    </row>
    <row r="823" spans="1:10">
      <c r="A823" s="55" t="str">
        <f t="shared" si="24"/>
        <v/>
      </c>
      <c r="J823" s="65" t="str">
        <f t="shared" si="25"/>
        <v/>
      </c>
    </row>
    <row r="824" spans="1:10">
      <c r="A824" s="55" t="str">
        <f t="shared" si="24"/>
        <v/>
      </c>
      <c r="J824" s="65" t="str">
        <f t="shared" si="25"/>
        <v/>
      </c>
    </row>
    <row r="825" spans="1:10">
      <c r="A825" s="55" t="str">
        <f t="shared" si="24"/>
        <v/>
      </c>
      <c r="J825" s="65" t="str">
        <f t="shared" si="25"/>
        <v/>
      </c>
    </row>
    <row r="826" spans="1:10">
      <c r="A826" s="55" t="str">
        <f t="shared" si="24"/>
        <v/>
      </c>
      <c r="J826" s="65" t="str">
        <f t="shared" si="25"/>
        <v/>
      </c>
    </row>
    <row r="827" spans="1:10">
      <c r="A827" s="55" t="str">
        <f t="shared" si="24"/>
        <v/>
      </c>
      <c r="J827" s="65" t="str">
        <f t="shared" si="25"/>
        <v/>
      </c>
    </row>
    <row r="828" spans="1:10">
      <c r="A828" s="55" t="str">
        <f t="shared" si="24"/>
        <v/>
      </c>
      <c r="J828" s="65" t="str">
        <f t="shared" si="25"/>
        <v/>
      </c>
    </row>
    <row r="829" spans="1:10">
      <c r="A829" s="55" t="str">
        <f t="shared" si="24"/>
        <v/>
      </c>
      <c r="J829" s="65" t="str">
        <f t="shared" si="25"/>
        <v/>
      </c>
    </row>
    <row r="830" spans="1:10">
      <c r="A830" s="55" t="str">
        <f t="shared" si="24"/>
        <v/>
      </c>
      <c r="J830" s="65" t="str">
        <f t="shared" si="25"/>
        <v/>
      </c>
    </row>
    <row r="831" spans="1:10">
      <c r="A831" s="55" t="str">
        <f t="shared" si="24"/>
        <v/>
      </c>
      <c r="J831" s="65" t="str">
        <f t="shared" si="25"/>
        <v/>
      </c>
    </row>
    <row r="832" spans="1:10">
      <c r="A832" s="55" t="str">
        <f t="shared" si="24"/>
        <v/>
      </c>
      <c r="J832" s="65" t="str">
        <f t="shared" si="25"/>
        <v/>
      </c>
    </row>
    <row r="833" spans="1:10">
      <c r="A833" s="55" t="str">
        <f t="shared" si="24"/>
        <v/>
      </c>
      <c r="J833" s="65" t="str">
        <f t="shared" si="25"/>
        <v/>
      </c>
    </row>
    <row r="834" spans="1:10">
      <c r="A834" s="55" t="str">
        <f t="shared" si="24"/>
        <v/>
      </c>
      <c r="J834" s="65" t="str">
        <f t="shared" si="25"/>
        <v/>
      </c>
    </row>
    <row r="835" spans="1:10">
      <c r="A835" s="55" t="str">
        <f t="shared" ref="A835:A898" si="26">IF(C835&lt;&gt;"",ROW(C835)-1,"")</f>
        <v/>
      </c>
      <c r="J835" s="65" t="str">
        <f t="shared" ref="J835:J898" si="27">IF(A835&lt;&gt;"",HYPERLINK("#"&amp;A835&amp;"!A1",D835),"")</f>
        <v/>
      </c>
    </row>
    <row r="836" spans="1:10">
      <c r="A836" s="55" t="str">
        <f t="shared" si="26"/>
        <v/>
      </c>
      <c r="J836" s="65" t="str">
        <f t="shared" si="27"/>
        <v/>
      </c>
    </row>
    <row r="837" spans="1:10">
      <c r="A837" s="55" t="str">
        <f t="shared" si="26"/>
        <v/>
      </c>
      <c r="J837" s="65" t="str">
        <f t="shared" si="27"/>
        <v/>
      </c>
    </row>
    <row r="838" spans="1:10">
      <c r="A838" s="55" t="str">
        <f t="shared" si="26"/>
        <v/>
      </c>
      <c r="J838" s="65" t="str">
        <f t="shared" si="27"/>
        <v/>
      </c>
    </row>
    <row r="839" spans="1:10">
      <c r="A839" s="55" t="str">
        <f t="shared" si="26"/>
        <v/>
      </c>
      <c r="J839" s="65" t="str">
        <f t="shared" si="27"/>
        <v/>
      </c>
    </row>
    <row r="840" spans="1:10">
      <c r="A840" s="55" t="str">
        <f t="shared" si="26"/>
        <v/>
      </c>
      <c r="J840" s="65" t="str">
        <f t="shared" si="27"/>
        <v/>
      </c>
    </row>
    <row r="841" spans="1:10">
      <c r="A841" s="55" t="str">
        <f t="shared" si="26"/>
        <v/>
      </c>
      <c r="J841" s="65" t="str">
        <f t="shared" si="27"/>
        <v/>
      </c>
    </row>
    <row r="842" spans="1:10">
      <c r="A842" s="55" t="str">
        <f t="shared" si="26"/>
        <v/>
      </c>
      <c r="J842" s="65" t="str">
        <f t="shared" si="27"/>
        <v/>
      </c>
    </row>
    <row r="843" spans="1:10">
      <c r="A843" s="55" t="str">
        <f t="shared" si="26"/>
        <v/>
      </c>
      <c r="J843" s="65" t="str">
        <f t="shared" si="27"/>
        <v/>
      </c>
    </row>
    <row r="844" spans="1:10">
      <c r="A844" s="55" t="str">
        <f t="shared" si="26"/>
        <v/>
      </c>
      <c r="J844" s="65" t="str">
        <f t="shared" si="27"/>
        <v/>
      </c>
    </row>
    <row r="845" spans="1:10">
      <c r="A845" s="55" t="str">
        <f t="shared" si="26"/>
        <v/>
      </c>
      <c r="J845" s="65" t="str">
        <f t="shared" si="27"/>
        <v/>
      </c>
    </row>
    <row r="846" spans="1:10">
      <c r="A846" s="55" t="str">
        <f t="shared" si="26"/>
        <v/>
      </c>
      <c r="J846" s="65" t="str">
        <f t="shared" si="27"/>
        <v/>
      </c>
    </row>
    <row r="847" spans="1:10">
      <c r="A847" s="55" t="str">
        <f t="shared" si="26"/>
        <v/>
      </c>
      <c r="J847" s="65" t="str">
        <f t="shared" si="27"/>
        <v/>
      </c>
    </row>
    <row r="848" spans="1:10">
      <c r="A848" s="55" t="str">
        <f t="shared" si="26"/>
        <v/>
      </c>
      <c r="J848" s="65" t="str">
        <f t="shared" si="27"/>
        <v/>
      </c>
    </row>
    <row r="849" spans="1:10">
      <c r="A849" s="55" t="str">
        <f t="shared" si="26"/>
        <v/>
      </c>
      <c r="J849" s="65" t="str">
        <f t="shared" si="27"/>
        <v/>
      </c>
    </row>
    <row r="850" spans="1:10">
      <c r="A850" s="55" t="str">
        <f t="shared" si="26"/>
        <v/>
      </c>
      <c r="J850" s="65" t="str">
        <f t="shared" si="27"/>
        <v/>
      </c>
    </row>
    <row r="851" spans="1:10">
      <c r="A851" s="55" t="str">
        <f t="shared" si="26"/>
        <v/>
      </c>
      <c r="J851" s="65" t="str">
        <f t="shared" si="27"/>
        <v/>
      </c>
    </row>
    <row r="852" spans="1:10">
      <c r="A852" s="55" t="str">
        <f t="shared" si="26"/>
        <v/>
      </c>
      <c r="J852" s="65" t="str">
        <f t="shared" si="27"/>
        <v/>
      </c>
    </row>
    <row r="853" spans="1:10">
      <c r="A853" s="55" t="str">
        <f t="shared" si="26"/>
        <v/>
      </c>
      <c r="J853" s="65" t="str">
        <f t="shared" si="27"/>
        <v/>
      </c>
    </row>
    <row r="854" spans="1:10">
      <c r="A854" s="55" t="str">
        <f t="shared" si="26"/>
        <v/>
      </c>
      <c r="J854" s="65" t="str">
        <f t="shared" si="27"/>
        <v/>
      </c>
    </row>
    <row r="855" spans="1:10">
      <c r="A855" s="55" t="str">
        <f t="shared" si="26"/>
        <v/>
      </c>
      <c r="J855" s="65" t="str">
        <f t="shared" si="27"/>
        <v/>
      </c>
    </row>
    <row r="856" spans="1:10">
      <c r="A856" s="55" t="str">
        <f t="shared" si="26"/>
        <v/>
      </c>
      <c r="J856" s="65" t="str">
        <f t="shared" si="27"/>
        <v/>
      </c>
    </row>
    <row r="857" spans="1:10">
      <c r="A857" s="55" t="str">
        <f t="shared" si="26"/>
        <v/>
      </c>
      <c r="J857" s="65" t="str">
        <f t="shared" si="27"/>
        <v/>
      </c>
    </row>
    <row r="858" spans="1:10">
      <c r="A858" s="55" t="str">
        <f t="shared" si="26"/>
        <v/>
      </c>
      <c r="J858" s="65" t="str">
        <f t="shared" si="27"/>
        <v/>
      </c>
    </row>
    <row r="859" spans="1:10">
      <c r="A859" s="55" t="str">
        <f t="shared" si="26"/>
        <v/>
      </c>
      <c r="J859" s="65" t="str">
        <f t="shared" si="27"/>
        <v/>
      </c>
    </row>
    <row r="860" spans="1:10">
      <c r="A860" s="55" t="str">
        <f t="shared" si="26"/>
        <v/>
      </c>
      <c r="J860" s="65" t="str">
        <f t="shared" si="27"/>
        <v/>
      </c>
    </row>
    <row r="861" spans="1:10">
      <c r="A861" s="55" t="str">
        <f t="shared" si="26"/>
        <v/>
      </c>
      <c r="J861" s="65" t="str">
        <f t="shared" si="27"/>
        <v/>
      </c>
    </row>
    <row r="862" spans="1:10">
      <c r="A862" s="55" t="str">
        <f t="shared" si="26"/>
        <v/>
      </c>
      <c r="J862" s="65" t="str">
        <f t="shared" si="27"/>
        <v/>
      </c>
    </row>
    <row r="863" spans="1:10">
      <c r="A863" s="55" t="str">
        <f t="shared" si="26"/>
        <v/>
      </c>
      <c r="J863" s="65" t="str">
        <f t="shared" si="27"/>
        <v/>
      </c>
    </row>
    <row r="864" spans="1:10">
      <c r="A864" s="55" t="str">
        <f t="shared" si="26"/>
        <v/>
      </c>
      <c r="J864" s="65" t="str">
        <f t="shared" si="27"/>
        <v/>
      </c>
    </row>
    <row r="865" spans="1:10">
      <c r="A865" s="55" t="str">
        <f t="shared" si="26"/>
        <v/>
      </c>
      <c r="J865" s="65" t="str">
        <f t="shared" si="27"/>
        <v/>
      </c>
    </row>
    <row r="866" spans="1:10">
      <c r="A866" s="55" t="str">
        <f t="shared" si="26"/>
        <v/>
      </c>
      <c r="J866" s="65" t="str">
        <f t="shared" si="27"/>
        <v/>
      </c>
    </row>
    <row r="867" spans="1:10">
      <c r="A867" s="55" t="str">
        <f t="shared" si="26"/>
        <v/>
      </c>
      <c r="J867" s="65" t="str">
        <f t="shared" si="27"/>
        <v/>
      </c>
    </row>
    <row r="868" spans="1:10">
      <c r="A868" s="55" t="str">
        <f t="shared" si="26"/>
        <v/>
      </c>
      <c r="J868" s="65" t="str">
        <f t="shared" si="27"/>
        <v/>
      </c>
    </row>
    <row r="869" spans="1:10">
      <c r="A869" s="55" t="str">
        <f t="shared" si="26"/>
        <v/>
      </c>
      <c r="J869" s="65" t="str">
        <f t="shared" si="27"/>
        <v/>
      </c>
    </row>
    <row r="870" spans="1:10">
      <c r="A870" s="55" t="str">
        <f t="shared" si="26"/>
        <v/>
      </c>
      <c r="J870" s="65" t="str">
        <f t="shared" si="27"/>
        <v/>
      </c>
    </row>
    <row r="871" spans="1:10">
      <c r="A871" s="55" t="str">
        <f t="shared" si="26"/>
        <v/>
      </c>
      <c r="J871" s="65" t="str">
        <f t="shared" si="27"/>
        <v/>
      </c>
    </row>
    <row r="872" spans="1:10">
      <c r="A872" s="55" t="str">
        <f t="shared" si="26"/>
        <v/>
      </c>
      <c r="J872" s="65" t="str">
        <f t="shared" si="27"/>
        <v/>
      </c>
    </row>
    <row r="873" spans="1:10">
      <c r="A873" s="55" t="str">
        <f t="shared" si="26"/>
        <v/>
      </c>
      <c r="J873" s="65" t="str">
        <f t="shared" si="27"/>
        <v/>
      </c>
    </row>
    <row r="874" spans="1:10">
      <c r="A874" s="55" t="str">
        <f t="shared" si="26"/>
        <v/>
      </c>
      <c r="J874" s="65" t="str">
        <f t="shared" si="27"/>
        <v/>
      </c>
    </row>
    <row r="875" spans="1:10">
      <c r="A875" s="55" t="str">
        <f t="shared" si="26"/>
        <v/>
      </c>
      <c r="J875" s="65" t="str">
        <f t="shared" si="27"/>
        <v/>
      </c>
    </row>
    <row r="876" spans="1:10">
      <c r="A876" s="55" t="str">
        <f t="shared" si="26"/>
        <v/>
      </c>
      <c r="J876" s="65" t="str">
        <f t="shared" si="27"/>
        <v/>
      </c>
    </row>
    <row r="877" spans="1:10">
      <c r="A877" s="55" t="str">
        <f t="shared" si="26"/>
        <v/>
      </c>
      <c r="J877" s="65" t="str">
        <f t="shared" si="27"/>
        <v/>
      </c>
    </row>
    <row r="878" spans="1:10">
      <c r="A878" s="55" t="str">
        <f t="shared" si="26"/>
        <v/>
      </c>
      <c r="J878" s="65" t="str">
        <f t="shared" si="27"/>
        <v/>
      </c>
    </row>
    <row r="879" spans="1:10">
      <c r="A879" s="55" t="str">
        <f t="shared" si="26"/>
        <v/>
      </c>
      <c r="J879" s="65" t="str">
        <f t="shared" si="27"/>
        <v/>
      </c>
    </row>
    <row r="880" spans="1:10">
      <c r="A880" s="55" t="str">
        <f t="shared" si="26"/>
        <v/>
      </c>
      <c r="J880" s="65" t="str">
        <f t="shared" si="27"/>
        <v/>
      </c>
    </row>
    <row r="881" spans="1:10">
      <c r="A881" s="55" t="str">
        <f t="shared" si="26"/>
        <v/>
      </c>
      <c r="J881" s="65" t="str">
        <f t="shared" si="27"/>
        <v/>
      </c>
    </row>
    <row r="882" spans="1:10">
      <c r="A882" s="55" t="str">
        <f t="shared" si="26"/>
        <v/>
      </c>
      <c r="J882" s="65" t="str">
        <f t="shared" si="27"/>
        <v/>
      </c>
    </row>
    <row r="883" spans="1:10">
      <c r="A883" s="55" t="str">
        <f t="shared" si="26"/>
        <v/>
      </c>
      <c r="J883" s="65" t="str">
        <f t="shared" si="27"/>
        <v/>
      </c>
    </row>
    <row r="884" spans="1:10">
      <c r="A884" s="55" t="str">
        <f t="shared" si="26"/>
        <v/>
      </c>
      <c r="J884" s="65" t="str">
        <f t="shared" si="27"/>
        <v/>
      </c>
    </row>
    <row r="885" spans="1:10">
      <c r="A885" s="55" t="str">
        <f t="shared" si="26"/>
        <v/>
      </c>
      <c r="J885" s="65" t="str">
        <f t="shared" si="27"/>
        <v/>
      </c>
    </row>
    <row r="886" spans="1:10">
      <c r="A886" s="55" t="str">
        <f t="shared" si="26"/>
        <v/>
      </c>
      <c r="J886" s="65" t="str">
        <f t="shared" si="27"/>
        <v/>
      </c>
    </row>
    <row r="887" spans="1:10">
      <c r="A887" s="55" t="str">
        <f t="shared" si="26"/>
        <v/>
      </c>
      <c r="J887" s="65" t="str">
        <f t="shared" si="27"/>
        <v/>
      </c>
    </row>
    <row r="888" spans="1:10">
      <c r="A888" s="55" t="str">
        <f t="shared" si="26"/>
        <v/>
      </c>
      <c r="J888" s="65" t="str">
        <f t="shared" si="27"/>
        <v/>
      </c>
    </row>
    <row r="889" spans="1:10">
      <c r="A889" s="55" t="str">
        <f t="shared" si="26"/>
        <v/>
      </c>
      <c r="J889" s="65" t="str">
        <f t="shared" si="27"/>
        <v/>
      </c>
    </row>
    <row r="890" spans="1:10">
      <c r="A890" s="55" t="str">
        <f t="shared" si="26"/>
        <v/>
      </c>
      <c r="J890" s="65" t="str">
        <f t="shared" si="27"/>
        <v/>
      </c>
    </row>
    <row r="891" spans="1:10">
      <c r="A891" s="55" t="str">
        <f t="shared" si="26"/>
        <v/>
      </c>
      <c r="J891" s="65" t="str">
        <f t="shared" si="27"/>
        <v/>
      </c>
    </row>
    <row r="892" spans="1:10">
      <c r="A892" s="55" t="str">
        <f t="shared" si="26"/>
        <v/>
      </c>
      <c r="J892" s="65" t="str">
        <f t="shared" si="27"/>
        <v/>
      </c>
    </row>
    <row r="893" spans="1:10">
      <c r="A893" s="55" t="str">
        <f t="shared" si="26"/>
        <v/>
      </c>
      <c r="J893" s="65" t="str">
        <f t="shared" si="27"/>
        <v/>
      </c>
    </row>
    <row r="894" spans="1:10">
      <c r="A894" s="55" t="str">
        <f t="shared" si="26"/>
        <v/>
      </c>
      <c r="J894" s="65" t="str">
        <f t="shared" si="27"/>
        <v/>
      </c>
    </row>
    <row r="895" spans="1:10">
      <c r="A895" s="55" t="str">
        <f t="shared" si="26"/>
        <v/>
      </c>
      <c r="J895" s="65" t="str">
        <f t="shared" si="27"/>
        <v/>
      </c>
    </row>
    <row r="896" spans="1:10">
      <c r="A896" s="55" t="str">
        <f t="shared" si="26"/>
        <v/>
      </c>
      <c r="J896" s="65" t="str">
        <f t="shared" si="27"/>
        <v/>
      </c>
    </row>
    <row r="897" spans="1:10">
      <c r="A897" s="55" t="str">
        <f t="shared" si="26"/>
        <v/>
      </c>
      <c r="J897" s="65" t="str">
        <f t="shared" si="27"/>
        <v/>
      </c>
    </row>
    <row r="898" spans="1:10">
      <c r="A898" s="55" t="str">
        <f t="shared" si="26"/>
        <v/>
      </c>
      <c r="J898" s="65" t="str">
        <f t="shared" si="27"/>
        <v/>
      </c>
    </row>
    <row r="899" spans="1:10">
      <c r="A899" s="55" t="str">
        <f t="shared" ref="A899:A909" si="28">IF(C899&lt;&gt;"",ROW(C899)-1,"")</f>
        <v/>
      </c>
      <c r="J899" s="65" t="str">
        <f t="shared" ref="J899:J909" si="29">IF(A899&lt;&gt;"",HYPERLINK("#"&amp;A899&amp;"!A1",D899),"")</f>
        <v/>
      </c>
    </row>
    <row r="900" spans="1:10">
      <c r="A900" s="55" t="str">
        <f t="shared" si="28"/>
        <v/>
      </c>
      <c r="J900" s="65" t="str">
        <f t="shared" si="29"/>
        <v/>
      </c>
    </row>
    <row r="901" spans="1:10">
      <c r="A901" s="55" t="str">
        <f t="shared" si="28"/>
        <v/>
      </c>
      <c r="J901" s="65" t="str">
        <f t="shared" si="29"/>
        <v/>
      </c>
    </row>
    <row r="902" spans="1:10">
      <c r="A902" s="55" t="str">
        <f t="shared" si="28"/>
        <v/>
      </c>
      <c r="J902" s="65" t="str">
        <f t="shared" si="29"/>
        <v/>
      </c>
    </row>
    <row r="903" spans="1:10">
      <c r="A903" s="55" t="str">
        <f t="shared" si="28"/>
        <v/>
      </c>
      <c r="J903" s="65" t="str">
        <f t="shared" si="29"/>
        <v/>
      </c>
    </row>
    <row r="904" spans="1:10">
      <c r="A904" s="55" t="str">
        <f t="shared" si="28"/>
        <v/>
      </c>
      <c r="J904" s="65" t="str">
        <f t="shared" si="29"/>
        <v/>
      </c>
    </row>
    <row r="905" spans="1:10">
      <c r="A905" s="55" t="str">
        <f t="shared" si="28"/>
        <v/>
      </c>
      <c r="J905" s="65" t="str">
        <f t="shared" si="29"/>
        <v/>
      </c>
    </row>
    <row r="906" spans="1:10">
      <c r="A906" s="55" t="str">
        <f t="shared" si="28"/>
        <v/>
      </c>
      <c r="J906" s="65" t="str">
        <f t="shared" si="29"/>
        <v/>
      </c>
    </row>
    <row r="907" spans="1:10">
      <c r="A907" s="55" t="str">
        <f t="shared" si="28"/>
        <v/>
      </c>
      <c r="J907" s="65" t="str">
        <f t="shared" si="29"/>
        <v/>
      </c>
    </row>
    <row r="908" spans="1:10">
      <c r="A908" s="55" t="str">
        <f t="shared" si="28"/>
        <v/>
      </c>
      <c r="J908" s="65" t="str">
        <f t="shared" si="29"/>
        <v/>
      </c>
    </row>
    <row r="909" spans="1:10">
      <c r="A909" s="55" t="str">
        <f t="shared" si="28"/>
        <v/>
      </c>
      <c r="J909" s="65" t="str">
        <f t="shared" si="29"/>
        <v/>
      </c>
    </row>
  </sheetData>
  <phoneticPr fontId="7"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Q49"/>
  <sheetViews>
    <sheetView view="pageBreakPreview" zoomScaleNormal="100" zoomScaleSheetLayoutView="100" workbookViewId="0">
      <selection activeCell="I2" sqref="H1:I2"/>
    </sheetView>
  </sheetViews>
  <sheetFormatPr defaultColWidth="8.25" defaultRowHeight="13"/>
  <cols>
    <col min="1" max="2" width="11.83203125" style="11" customWidth="1"/>
    <col min="3" max="5" width="21.83203125" style="11" customWidth="1"/>
    <col min="6" max="9" width="8.25" style="11"/>
    <col min="10" max="10" width="11.4140625" style="11" bestFit="1" customWidth="1"/>
    <col min="11" max="16384" width="8.25" style="11"/>
  </cols>
  <sheetData>
    <row r="1" spans="1:17" ht="41" customHeight="1">
      <c r="A1" s="10"/>
      <c r="B1" s="10"/>
      <c r="C1" s="10"/>
      <c r="D1" s="10"/>
      <c r="E1" s="60" t="str">
        <f>INDEX(基本信息!E:E,MATCH(企业询证函模板!E3,基本信息!D:D,0))</f>
        <v>*SZ04999100-4300-001*</v>
      </c>
      <c r="H1" s="66" t="str">
        <f>HYPERLINK("#基本信息!I1","返回基本信息")</f>
        <v>返回基本信息</v>
      </c>
    </row>
    <row r="2" spans="1:17" s="12" customFormat="1" ht="14">
      <c r="A2" s="341" t="s">
        <v>34</v>
      </c>
      <c r="B2" s="342"/>
      <c r="C2" s="342"/>
      <c r="D2" s="342"/>
      <c r="E2" s="342"/>
      <c r="H2" s="66" t="str">
        <f>HYPERLINK("#操作平台!A3","返回操作平台")</f>
        <v>返回操作平台</v>
      </c>
      <c r="K2" s="176" t="s">
        <v>295</v>
      </c>
    </row>
    <row r="3" spans="1:17" s="12" customFormat="1">
      <c r="A3" s="13"/>
      <c r="B3" s="13"/>
      <c r="C3" s="13"/>
      <c r="D3" s="14" t="s">
        <v>14</v>
      </c>
      <c r="E3" s="45" t="s">
        <v>57</v>
      </c>
    </row>
    <row r="4" spans="1:17" s="12" customFormat="1" ht="14">
      <c r="A4" s="15" t="str">
        <f>"致："&amp;INDEX(基本信息!C:C,MATCH(企业询证函模板!E3,基本信息!D:D,0))</f>
        <v>致：客户001</v>
      </c>
      <c r="B4" s="16"/>
      <c r="H4" s="82" t="str">
        <f>HYPERLINK("#使用说明!B2","返回模板池")</f>
        <v>返回模板池</v>
      </c>
      <c r="K4" s="177" t="s">
        <v>109</v>
      </c>
      <c r="L4" s="174" t="s">
        <v>118</v>
      </c>
    </row>
    <row r="5" spans="1:17" s="12" customFormat="1">
      <c r="A5" s="345" t="s">
        <v>15</v>
      </c>
      <c r="B5" s="345"/>
      <c r="C5" s="345"/>
      <c r="D5" s="345"/>
      <c r="E5" s="345"/>
      <c r="K5" s="177" t="s">
        <v>134</v>
      </c>
      <c r="L5" s="174" t="s">
        <v>89</v>
      </c>
    </row>
    <row r="6" spans="1:17" s="12" customFormat="1">
      <c r="A6" s="345"/>
      <c r="B6" s="345"/>
      <c r="C6" s="345"/>
      <c r="D6" s="345"/>
      <c r="E6" s="345"/>
      <c r="K6" s="177" t="s">
        <v>135</v>
      </c>
      <c r="L6" s="174" t="s">
        <v>90</v>
      </c>
    </row>
    <row r="7" spans="1:17" s="12" customFormat="1">
      <c r="A7" s="345"/>
      <c r="B7" s="345"/>
      <c r="C7" s="345"/>
      <c r="D7" s="345"/>
      <c r="E7" s="345"/>
      <c r="K7" s="177" t="s">
        <v>122</v>
      </c>
      <c r="L7" s="174" t="s">
        <v>123</v>
      </c>
    </row>
    <row r="8" spans="1:17" s="12" customFormat="1">
      <c r="A8" s="345"/>
      <c r="B8" s="345"/>
      <c r="C8" s="345"/>
      <c r="D8" s="345"/>
      <c r="E8" s="345"/>
      <c r="K8" s="177" t="s">
        <v>182</v>
      </c>
      <c r="L8" s="175" t="s">
        <v>185</v>
      </c>
    </row>
    <row r="9" spans="1:17" s="12" customFormat="1">
      <c r="A9" s="345"/>
      <c r="B9" s="345"/>
      <c r="C9" s="345"/>
      <c r="D9" s="345"/>
      <c r="E9" s="345"/>
    </row>
    <row r="10" spans="1:17" s="12" customFormat="1">
      <c r="A10" s="17" t="s">
        <v>16</v>
      </c>
      <c r="B10" s="343" t="s">
        <v>0</v>
      </c>
      <c r="C10" s="344"/>
      <c r="D10" s="344"/>
      <c r="E10" s="18"/>
    </row>
    <row r="11" spans="1:17" s="12" customFormat="1">
      <c r="A11" s="17" t="s">
        <v>17</v>
      </c>
      <c r="B11" s="343" t="s">
        <v>18</v>
      </c>
      <c r="C11" s="344"/>
      <c r="D11" s="344"/>
      <c r="E11" s="19" t="s">
        <v>1</v>
      </c>
      <c r="J11" s="173" t="s">
        <v>94</v>
      </c>
      <c r="K11" s="173" t="s">
        <v>120</v>
      </c>
      <c r="L11" s="173" t="s">
        <v>54</v>
      </c>
      <c r="M11" s="331" t="s">
        <v>110</v>
      </c>
      <c r="N11" s="331"/>
      <c r="O11" s="331"/>
      <c r="P11" s="331"/>
      <c r="Q11" s="331"/>
    </row>
    <row r="12" spans="1:17" s="12" customFormat="1" ht="14">
      <c r="A12" s="20" t="s">
        <v>2</v>
      </c>
      <c r="B12" s="21" t="s">
        <v>8</v>
      </c>
      <c r="D12" s="22" t="s">
        <v>19</v>
      </c>
      <c r="E12" s="23" t="s">
        <v>9</v>
      </c>
      <c r="J12" s="178" t="s">
        <v>95</v>
      </c>
      <c r="K12" s="72">
        <f>ROW(A15)</f>
        <v>15</v>
      </c>
      <c r="L12" s="179" t="s">
        <v>54</v>
      </c>
      <c r="M12" s="332" t="s">
        <v>111</v>
      </c>
      <c r="N12" s="332"/>
      <c r="O12" s="180" t="s">
        <v>113</v>
      </c>
      <c r="P12" s="180" t="s">
        <v>114</v>
      </c>
      <c r="Q12" s="180" t="s">
        <v>115</v>
      </c>
    </row>
    <row r="13" spans="1:17" s="12" customFormat="1" ht="14">
      <c r="A13" s="25" t="s">
        <v>48</v>
      </c>
      <c r="B13" s="20"/>
      <c r="C13" s="24"/>
      <c r="D13" s="24"/>
      <c r="E13" s="25"/>
      <c r="J13" s="178" t="s">
        <v>91</v>
      </c>
      <c r="K13" s="72">
        <f>ROW(A18)</f>
        <v>18</v>
      </c>
      <c r="L13" s="179" t="s">
        <v>54</v>
      </c>
      <c r="M13" s="332" t="s">
        <v>116</v>
      </c>
      <c r="N13" s="332"/>
      <c r="O13" s="180" t="s">
        <v>112</v>
      </c>
      <c r="P13" s="180" t="s">
        <v>117</v>
      </c>
      <c r="Q13" s="180" t="s">
        <v>115</v>
      </c>
    </row>
    <row r="14" spans="1:17" s="12" customFormat="1" ht="14">
      <c r="A14" s="334" t="s">
        <v>20</v>
      </c>
      <c r="B14" s="334"/>
      <c r="C14" s="26" t="s">
        <v>21</v>
      </c>
      <c r="D14" s="26" t="s">
        <v>22</v>
      </c>
      <c r="E14" s="26" t="s">
        <v>23</v>
      </c>
      <c r="J14" s="178" t="s">
        <v>58</v>
      </c>
      <c r="K14" s="72">
        <f>ROW(A21)</f>
        <v>21</v>
      </c>
      <c r="L14" s="179" t="s">
        <v>54</v>
      </c>
      <c r="M14" s="180" t="s">
        <v>36</v>
      </c>
      <c r="N14" s="180" t="s">
        <v>35</v>
      </c>
      <c r="O14" s="181" t="s">
        <v>3</v>
      </c>
      <c r="P14" s="181" t="s">
        <v>4</v>
      </c>
      <c r="Q14" s="181" t="s">
        <v>6</v>
      </c>
    </row>
    <row r="15" spans="1:17" s="28" customFormat="1" ht="14">
      <c r="A15" s="335"/>
      <c r="B15" s="335"/>
      <c r="C15" s="27"/>
      <c r="D15" s="27"/>
      <c r="E15" s="27"/>
      <c r="J15" s="178" t="s">
        <v>92</v>
      </c>
      <c r="K15" s="72">
        <f>ROW(A25)</f>
        <v>25</v>
      </c>
      <c r="L15" s="179" t="s">
        <v>54</v>
      </c>
      <c r="M15" s="180" t="s">
        <v>36</v>
      </c>
      <c r="N15" s="180" t="s">
        <v>35</v>
      </c>
      <c r="O15" s="181" t="s">
        <v>3</v>
      </c>
      <c r="P15" s="181" t="s">
        <v>4</v>
      </c>
      <c r="Q15" s="181" t="s">
        <v>5</v>
      </c>
    </row>
    <row r="16" spans="1:17" s="12" customFormat="1">
      <c r="A16" s="22" t="s">
        <v>49</v>
      </c>
      <c r="B16" s="20"/>
      <c r="C16" s="29"/>
      <c r="D16" s="29"/>
      <c r="E16" s="25"/>
      <c r="J16" s="179" t="s">
        <v>296</v>
      </c>
      <c r="K16" s="72">
        <f>ROW(A29)</f>
        <v>29</v>
      </c>
      <c r="L16" s="179" t="s">
        <v>54</v>
      </c>
      <c r="M16" s="33" t="s">
        <v>36</v>
      </c>
      <c r="N16" s="34" t="s">
        <v>35</v>
      </c>
      <c r="O16" s="30" t="s">
        <v>3</v>
      </c>
      <c r="P16" s="30" t="s">
        <v>4</v>
      </c>
      <c r="Q16" s="33" t="s">
        <v>5</v>
      </c>
    </row>
    <row r="17" spans="1:5" s="12" customFormat="1">
      <c r="A17" s="334" t="s">
        <v>24</v>
      </c>
      <c r="B17" s="334"/>
      <c r="C17" s="30" t="s">
        <v>25</v>
      </c>
      <c r="D17" s="30" t="s">
        <v>26</v>
      </c>
      <c r="E17" s="26" t="s">
        <v>23</v>
      </c>
    </row>
    <row r="18" spans="1:5" s="12" customFormat="1">
      <c r="A18" s="333"/>
      <c r="B18" s="333"/>
      <c r="C18" s="31"/>
      <c r="D18" s="32"/>
      <c r="E18" s="32"/>
    </row>
    <row r="19" spans="1:5" s="12" customFormat="1">
      <c r="A19" s="22" t="s">
        <v>50</v>
      </c>
      <c r="B19" s="53"/>
      <c r="C19" s="2"/>
      <c r="D19" s="2"/>
      <c r="E19" s="2"/>
    </row>
    <row r="20" spans="1:5" s="12" customFormat="1">
      <c r="A20" s="33" t="s">
        <v>36</v>
      </c>
      <c r="B20" s="34" t="s">
        <v>35</v>
      </c>
      <c r="C20" s="30" t="s">
        <v>3</v>
      </c>
      <c r="D20" s="30" t="s">
        <v>4</v>
      </c>
      <c r="E20" s="30" t="s">
        <v>6</v>
      </c>
    </row>
    <row r="21" spans="1:5" s="12" customFormat="1">
      <c r="A21" s="8"/>
      <c r="B21" s="8"/>
      <c r="C21" s="3"/>
      <c r="D21" s="4"/>
      <c r="E21" s="3"/>
    </row>
    <row r="22" spans="1:5" s="12" customFormat="1">
      <c r="A22" s="338" t="s">
        <v>13</v>
      </c>
      <c r="B22" s="339"/>
      <c r="C22" s="340"/>
      <c r="D22" s="63">
        <f>SUM(D20:D21)</f>
        <v>0</v>
      </c>
      <c r="E22" s="3"/>
    </row>
    <row r="23" spans="1:5" s="12" customFormat="1">
      <c r="A23" s="20" t="s">
        <v>51</v>
      </c>
      <c r="B23" s="53"/>
      <c r="C23" s="2"/>
      <c r="D23" s="2"/>
      <c r="E23" s="2"/>
    </row>
    <row r="24" spans="1:5" s="12" customFormat="1">
      <c r="A24" s="33" t="s">
        <v>36</v>
      </c>
      <c r="B24" s="34" t="s">
        <v>35</v>
      </c>
      <c r="C24" s="30" t="s">
        <v>3</v>
      </c>
      <c r="D24" s="30" t="s">
        <v>4</v>
      </c>
      <c r="E24" s="33" t="s">
        <v>5</v>
      </c>
    </row>
    <row r="25" spans="1:5" s="12" customFormat="1">
      <c r="A25" s="5"/>
      <c r="B25" s="5"/>
      <c r="C25" s="3"/>
      <c r="D25" s="4"/>
      <c r="E25" s="3"/>
    </row>
    <row r="26" spans="1:5" s="12" customFormat="1">
      <c r="A26" s="338" t="s">
        <v>13</v>
      </c>
      <c r="B26" s="339"/>
      <c r="C26" s="340"/>
      <c r="D26" s="63">
        <f>SUM(D24:D25)</f>
        <v>0</v>
      </c>
      <c r="E26" s="3"/>
    </row>
    <row r="27" spans="1:5" s="12" customFormat="1">
      <c r="A27" s="20" t="s">
        <v>52</v>
      </c>
      <c r="B27" s="1"/>
      <c r="C27" s="2"/>
      <c r="D27" s="2"/>
      <c r="E27" s="2"/>
    </row>
    <row r="28" spans="1:5" s="12" customFormat="1">
      <c r="A28" s="59" t="s">
        <v>7</v>
      </c>
      <c r="B28" s="34" t="s">
        <v>11</v>
      </c>
      <c r="C28" s="34" t="s">
        <v>12</v>
      </c>
      <c r="D28" s="34" t="s">
        <v>10</v>
      </c>
      <c r="E28" s="33" t="s">
        <v>56</v>
      </c>
    </row>
    <row r="29" spans="1:5" s="12" customFormat="1">
      <c r="A29" s="58"/>
      <c r="B29" s="3"/>
      <c r="C29" s="4"/>
      <c r="D29" s="3"/>
      <c r="E29" s="3"/>
    </row>
    <row r="30" spans="1:5" s="12" customFormat="1">
      <c r="A30" s="338" t="s">
        <v>13</v>
      </c>
      <c r="B30" s="339"/>
      <c r="C30" s="340"/>
      <c r="D30" s="63">
        <f>SUM(D28:D29)</f>
        <v>0</v>
      </c>
      <c r="E30" s="3"/>
    </row>
    <row r="31" spans="1:5" s="12" customFormat="1">
      <c r="A31" s="20" t="s">
        <v>53</v>
      </c>
      <c r="B31" s="9"/>
      <c r="C31" s="6"/>
      <c r="D31" s="7"/>
      <c r="E31" s="6"/>
    </row>
    <row r="32" spans="1:5" s="12" customFormat="1">
      <c r="A32" s="337"/>
      <c r="B32" s="337"/>
      <c r="C32" s="337"/>
      <c r="D32" s="337"/>
      <c r="E32" s="337"/>
    </row>
    <row r="33" spans="1:5" s="12" customFormat="1">
      <c r="A33" s="22" t="s">
        <v>27</v>
      </c>
      <c r="B33" s="22"/>
      <c r="C33" s="24"/>
      <c r="D33" s="24"/>
    </row>
    <row r="34" spans="1:5" s="12" customFormat="1">
      <c r="A34" s="22"/>
      <c r="B34" s="22"/>
      <c r="C34" s="24"/>
      <c r="D34" s="24"/>
    </row>
    <row r="35" spans="1:5" s="12" customFormat="1"/>
    <row r="36" spans="1:5" s="12" customFormat="1"/>
    <row r="37" spans="1:5" s="12" customFormat="1">
      <c r="D37" s="336" t="str">
        <f>INDEX(基本信息!B:B,MATCH(企业询证函模板!E3,基本信息!D:D,0))</f>
        <v>aiwenczl股份有限公司</v>
      </c>
      <c r="E37" s="336"/>
    </row>
    <row r="38" spans="1:5" s="12" customFormat="1">
      <c r="D38" s="14" t="s">
        <v>28</v>
      </c>
    </row>
    <row r="39" spans="1:5" s="12" customFormat="1">
      <c r="D39" s="35" t="s">
        <v>29</v>
      </c>
    </row>
    <row r="40" spans="1:5" s="12" customFormat="1"/>
    <row r="41" spans="1:5" s="12" customFormat="1">
      <c r="A41" s="36" t="s">
        <v>30</v>
      </c>
      <c r="B41" s="37"/>
      <c r="C41" s="38"/>
      <c r="D41" s="39" t="s">
        <v>31</v>
      </c>
      <c r="E41" s="38"/>
    </row>
    <row r="42" spans="1:5" s="12" customFormat="1">
      <c r="A42" s="40"/>
      <c r="C42" s="41"/>
      <c r="E42" s="41"/>
    </row>
    <row r="43" spans="1:5" s="12" customFormat="1">
      <c r="A43" s="40"/>
      <c r="C43" s="41"/>
      <c r="E43" s="41"/>
    </row>
    <row r="44" spans="1:5" s="12" customFormat="1">
      <c r="A44" s="40"/>
      <c r="C44" s="41"/>
      <c r="E44" s="41"/>
    </row>
    <row r="45" spans="1:5" s="12" customFormat="1">
      <c r="A45" s="40"/>
      <c r="C45" s="41"/>
      <c r="E45" s="41"/>
    </row>
    <row r="46" spans="1:5" s="12" customFormat="1">
      <c r="A46" s="40"/>
      <c r="B46" s="42" t="s">
        <v>32</v>
      </c>
      <c r="C46" s="41"/>
      <c r="D46" s="43" t="s">
        <v>32</v>
      </c>
      <c r="E46" s="41"/>
    </row>
    <row r="47" spans="1:5" s="12" customFormat="1">
      <c r="A47" s="40"/>
      <c r="B47" s="42" t="s">
        <v>33</v>
      </c>
      <c r="C47" s="41"/>
      <c r="D47" s="43" t="s">
        <v>33</v>
      </c>
      <c r="E47" s="41"/>
    </row>
    <row r="48" spans="1:5" s="12" customFormat="1">
      <c r="A48" s="40"/>
      <c r="B48" s="42" t="s">
        <v>28</v>
      </c>
      <c r="C48" s="41"/>
      <c r="D48" s="43" t="s">
        <v>28</v>
      </c>
      <c r="E48" s="41"/>
    </row>
    <row r="49" spans="1:5" s="12" customFormat="1">
      <c r="A49" s="44"/>
      <c r="B49" s="45"/>
      <c r="C49" s="46"/>
      <c r="D49" s="45"/>
      <c r="E49" s="46"/>
    </row>
  </sheetData>
  <mergeCells count="16">
    <mergeCell ref="D37:E37"/>
    <mergeCell ref="A32:E32"/>
    <mergeCell ref="A26:C26"/>
    <mergeCell ref="A30:C30"/>
    <mergeCell ref="A2:E2"/>
    <mergeCell ref="B10:D10"/>
    <mergeCell ref="B11:D11"/>
    <mergeCell ref="A5:E9"/>
    <mergeCell ref="A22:C22"/>
    <mergeCell ref="M11:Q11"/>
    <mergeCell ref="M12:N12"/>
    <mergeCell ref="M13:N13"/>
    <mergeCell ref="A18:B18"/>
    <mergeCell ref="A14:B14"/>
    <mergeCell ref="A15:B15"/>
    <mergeCell ref="A17:B17"/>
  </mergeCells>
  <phoneticPr fontId="3" type="noConversion"/>
  <printOptions horizontalCentered="1" verticalCentered="1"/>
  <pageMargins left="0.70866141732283472" right="0.70866141732283472" top="0.74803149606299213" bottom="0.74803149606299213" header="0.31496062992125984" footer="0.31496062992125984"/>
  <pageSetup paperSize="9" scale="9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256BA-8F0F-41D7-9D95-18F8044F651A}">
  <sheetPr codeName="Sheet6"/>
  <dimension ref="A1:AC144"/>
  <sheetViews>
    <sheetView tabSelected="1" view="pageBreakPreview" zoomScale="60" zoomScaleNormal="100" workbookViewId="0">
      <selection activeCell="A5" sqref="A5:J9"/>
    </sheetView>
  </sheetViews>
  <sheetFormatPr defaultColWidth="8.25" defaultRowHeight="18"/>
  <cols>
    <col min="1" max="1" width="21.1640625" style="108" customWidth="1"/>
    <col min="2" max="2" width="11.08203125" style="108" customWidth="1"/>
    <col min="3" max="3" width="6.33203125" style="108" customWidth="1"/>
    <col min="4" max="4" width="6.75" style="108" customWidth="1"/>
    <col min="5" max="5" width="8" style="108" customWidth="1"/>
    <col min="6" max="6" width="8.1640625" style="108" customWidth="1"/>
    <col min="7" max="7" width="14.4140625" style="108" customWidth="1"/>
    <col min="8" max="8" width="5" style="108" customWidth="1"/>
    <col min="9" max="9" width="12" style="108" customWidth="1"/>
    <col min="10" max="10" width="9.25" style="108" customWidth="1"/>
    <col min="11" max="13" width="8.25" style="108"/>
    <col min="14" max="14" width="20.5" style="192" customWidth="1"/>
    <col min="15" max="16" width="8.25" style="192"/>
    <col min="17" max="17" width="10.33203125" style="192" customWidth="1"/>
    <col min="18" max="24" width="8.25" style="192"/>
    <col min="25" max="25" width="11.58203125" style="192" customWidth="1"/>
    <col min="26" max="26" width="8.25" style="192"/>
    <col min="27" max="225" width="8.25" style="108"/>
    <col min="226" max="226" width="11.08203125" style="108" customWidth="1"/>
    <col min="227" max="227" width="8.25" style="108"/>
    <col min="228" max="228" width="9.5" style="108" customWidth="1"/>
    <col min="229" max="229" width="8.25" style="108"/>
    <col min="230" max="230" width="14.58203125" style="108" customWidth="1"/>
    <col min="231" max="231" width="12.9140625" style="108" customWidth="1"/>
    <col min="232" max="232" width="12.83203125" style="108" customWidth="1"/>
    <col min="233" max="233" width="11.33203125" style="108" customWidth="1"/>
    <col min="234" max="234" width="11.08203125" style="108" customWidth="1"/>
    <col min="235" max="481" width="8.25" style="108"/>
    <col min="482" max="482" width="11.08203125" style="108" customWidth="1"/>
    <col min="483" max="483" width="8.25" style="108"/>
    <col min="484" max="484" width="9.5" style="108" customWidth="1"/>
    <col min="485" max="485" width="8.25" style="108"/>
    <col min="486" max="486" width="14.58203125" style="108" customWidth="1"/>
    <col min="487" max="487" width="12.9140625" style="108" customWidth="1"/>
    <col min="488" max="488" width="12.83203125" style="108" customWidth="1"/>
    <col min="489" max="489" width="11.33203125" style="108" customWidth="1"/>
    <col min="490" max="490" width="11.08203125" style="108" customWidth="1"/>
    <col min="491" max="737" width="8.25" style="108"/>
    <col min="738" max="738" width="11.08203125" style="108" customWidth="1"/>
    <col min="739" max="739" width="8.25" style="108"/>
    <col min="740" max="740" width="9.5" style="108" customWidth="1"/>
    <col min="741" max="741" width="8.25" style="108"/>
    <col min="742" max="742" width="14.58203125" style="108" customWidth="1"/>
    <col min="743" max="743" width="12.9140625" style="108" customWidth="1"/>
    <col min="744" max="744" width="12.83203125" style="108" customWidth="1"/>
    <col min="745" max="745" width="11.33203125" style="108" customWidth="1"/>
    <col min="746" max="746" width="11.08203125" style="108" customWidth="1"/>
    <col min="747" max="993" width="8.25" style="108"/>
    <col min="994" max="994" width="11.08203125" style="108" customWidth="1"/>
    <col min="995" max="995" width="8.25" style="108"/>
    <col min="996" max="996" width="9.5" style="108" customWidth="1"/>
    <col min="997" max="997" width="8.25" style="108"/>
    <col min="998" max="998" width="14.58203125" style="108" customWidth="1"/>
    <col min="999" max="999" width="12.9140625" style="108" customWidth="1"/>
    <col min="1000" max="1000" width="12.83203125" style="108" customWidth="1"/>
    <col min="1001" max="1001" width="11.33203125" style="108" customWidth="1"/>
    <col min="1002" max="1002" width="11.08203125" style="108" customWidth="1"/>
    <col min="1003" max="1249" width="8.25" style="108"/>
    <col min="1250" max="1250" width="11.08203125" style="108" customWidth="1"/>
    <col min="1251" max="1251" width="8.25" style="108"/>
    <col min="1252" max="1252" width="9.5" style="108" customWidth="1"/>
    <col min="1253" max="1253" width="8.25" style="108"/>
    <col min="1254" max="1254" width="14.58203125" style="108" customWidth="1"/>
    <col min="1255" max="1255" width="12.9140625" style="108" customWidth="1"/>
    <col min="1256" max="1256" width="12.83203125" style="108" customWidth="1"/>
    <col min="1257" max="1257" width="11.33203125" style="108" customWidth="1"/>
    <col min="1258" max="1258" width="11.08203125" style="108" customWidth="1"/>
    <col min="1259" max="1505" width="8.25" style="108"/>
    <col min="1506" max="1506" width="11.08203125" style="108" customWidth="1"/>
    <col min="1507" max="1507" width="8.25" style="108"/>
    <col min="1508" max="1508" width="9.5" style="108" customWidth="1"/>
    <col min="1509" max="1509" width="8.25" style="108"/>
    <col min="1510" max="1510" width="14.58203125" style="108" customWidth="1"/>
    <col min="1511" max="1511" width="12.9140625" style="108" customWidth="1"/>
    <col min="1512" max="1512" width="12.83203125" style="108" customWidth="1"/>
    <col min="1513" max="1513" width="11.33203125" style="108" customWidth="1"/>
    <col min="1514" max="1514" width="11.08203125" style="108" customWidth="1"/>
    <col min="1515" max="1761" width="8.25" style="108"/>
    <col min="1762" max="1762" width="11.08203125" style="108" customWidth="1"/>
    <col min="1763" max="1763" width="8.25" style="108"/>
    <col min="1764" max="1764" width="9.5" style="108" customWidth="1"/>
    <col min="1765" max="1765" width="8.25" style="108"/>
    <col min="1766" max="1766" width="14.58203125" style="108" customWidth="1"/>
    <col min="1767" max="1767" width="12.9140625" style="108" customWidth="1"/>
    <col min="1768" max="1768" width="12.83203125" style="108" customWidth="1"/>
    <col min="1769" max="1769" width="11.33203125" style="108" customWidth="1"/>
    <col min="1770" max="1770" width="11.08203125" style="108" customWidth="1"/>
    <col min="1771" max="2017" width="8.25" style="108"/>
    <col min="2018" max="2018" width="11.08203125" style="108" customWidth="1"/>
    <col min="2019" max="2019" width="8.25" style="108"/>
    <col min="2020" max="2020" width="9.5" style="108" customWidth="1"/>
    <col min="2021" max="2021" width="8.25" style="108"/>
    <col min="2022" max="2022" width="14.58203125" style="108" customWidth="1"/>
    <col min="2023" max="2023" width="12.9140625" style="108" customWidth="1"/>
    <col min="2024" max="2024" width="12.83203125" style="108" customWidth="1"/>
    <col min="2025" max="2025" width="11.33203125" style="108" customWidth="1"/>
    <col min="2026" max="2026" width="11.08203125" style="108" customWidth="1"/>
    <col min="2027" max="2273" width="8.25" style="108"/>
    <col min="2274" max="2274" width="11.08203125" style="108" customWidth="1"/>
    <col min="2275" max="2275" width="8.25" style="108"/>
    <col min="2276" max="2276" width="9.5" style="108" customWidth="1"/>
    <col min="2277" max="2277" width="8.25" style="108"/>
    <col min="2278" max="2278" width="14.58203125" style="108" customWidth="1"/>
    <col min="2279" max="2279" width="12.9140625" style="108" customWidth="1"/>
    <col min="2280" max="2280" width="12.83203125" style="108" customWidth="1"/>
    <col min="2281" max="2281" width="11.33203125" style="108" customWidth="1"/>
    <col min="2282" max="2282" width="11.08203125" style="108" customWidth="1"/>
    <col min="2283" max="2529" width="8.25" style="108"/>
    <col min="2530" max="2530" width="11.08203125" style="108" customWidth="1"/>
    <col min="2531" max="2531" width="8.25" style="108"/>
    <col min="2532" max="2532" width="9.5" style="108" customWidth="1"/>
    <col min="2533" max="2533" width="8.25" style="108"/>
    <col min="2534" max="2534" width="14.58203125" style="108" customWidth="1"/>
    <col min="2535" max="2535" width="12.9140625" style="108" customWidth="1"/>
    <col min="2536" max="2536" width="12.83203125" style="108" customWidth="1"/>
    <col min="2537" max="2537" width="11.33203125" style="108" customWidth="1"/>
    <col min="2538" max="2538" width="11.08203125" style="108" customWidth="1"/>
    <col min="2539" max="2785" width="8.25" style="108"/>
    <col min="2786" max="2786" width="11.08203125" style="108" customWidth="1"/>
    <col min="2787" max="2787" width="8.25" style="108"/>
    <col min="2788" max="2788" width="9.5" style="108" customWidth="1"/>
    <col min="2789" max="2789" width="8.25" style="108"/>
    <col min="2790" max="2790" width="14.58203125" style="108" customWidth="1"/>
    <col min="2791" max="2791" width="12.9140625" style="108" customWidth="1"/>
    <col min="2792" max="2792" width="12.83203125" style="108" customWidth="1"/>
    <col min="2793" max="2793" width="11.33203125" style="108" customWidth="1"/>
    <col min="2794" max="2794" width="11.08203125" style="108" customWidth="1"/>
    <col min="2795" max="3041" width="8.25" style="108"/>
    <col min="3042" max="3042" width="11.08203125" style="108" customWidth="1"/>
    <col min="3043" max="3043" width="8.25" style="108"/>
    <col min="3044" max="3044" width="9.5" style="108" customWidth="1"/>
    <col min="3045" max="3045" width="8.25" style="108"/>
    <col min="3046" max="3046" width="14.58203125" style="108" customWidth="1"/>
    <col min="3047" max="3047" width="12.9140625" style="108" customWidth="1"/>
    <col min="3048" max="3048" width="12.83203125" style="108" customWidth="1"/>
    <col min="3049" max="3049" width="11.33203125" style="108" customWidth="1"/>
    <col min="3050" max="3050" width="11.08203125" style="108" customWidth="1"/>
    <col min="3051" max="3297" width="8.25" style="108"/>
    <col min="3298" max="3298" width="11.08203125" style="108" customWidth="1"/>
    <col min="3299" max="3299" width="8.25" style="108"/>
    <col min="3300" max="3300" width="9.5" style="108" customWidth="1"/>
    <col min="3301" max="3301" width="8.25" style="108"/>
    <col min="3302" max="3302" width="14.58203125" style="108" customWidth="1"/>
    <col min="3303" max="3303" width="12.9140625" style="108" customWidth="1"/>
    <col min="3304" max="3304" width="12.83203125" style="108" customWidth="1"/>
    <col min="3305" max="3305" width="11.33203125" style="108" customWidth="1"/>
    <col min="3306" max="3306" width="11.08203125" style="108" customWidth="1"/>
    <col min="3307" max="3553" width="8.25" style="108"/>
    <col min="3554" max="3554" width="11.08203125" style="108" customWidth="1"/>
    <col min="3555" max="3555" width="8.25" style="108"/>
    <col min="3556" max="3556" width="9.5" style="108" customWidth="1"/>
    <col min="3557" max="3557" width="8.25" style="108"/>
    <col min="3558" max="3558" width="14.58203125" style="108" customWidth="1"/>
    <col min="3559" max="3559" width="12.9140625" style="108" customWidth="1"/>
    <col min="3560" max="3560" width="12.83203125" style="108" customWidth="1"/>
    <col min="3561" max="3561" width="11.33203125" style="108" customWidth="1"/>
    <col min="3562" max="3562" width="11.08203125" style="108" customWidth="1"/>
    <col min="3563" max="3809" width="8.25" style="108"/>
    <col min="3810" max="3810" width="11.08203125" style="108" customWidth="1"/>
    <col min="3811" max="3811" width="8.25" style="108"/>
    <col min="3812" max="3812" width="9.5" style="108" customWidth="1"/>
    <col min="3813" max="3813" width="8.25" style="108"/>
    <col min="3814" max="3814" width="14.58203125" style="108" customWidth="1"/>
    <col min="3815" max="3815" width="12.9140625" style="108" customWidth="1"/>
    <col min="3816" max="3816" width="12.83203125" style="108" customWidth="1"/>
    <col min="3817" max="3817" width="11.33203125" style="108" customWidth="1"/>
    <col min="3818" max="3818" width="11.08203125" style="108" customWidth="1"/>
    <col min="3819" max="4065" width="8.25" style="108"/>
    <col min="4066" max="4066" width="11.08203125" style="108" customWidth="1"/>
    <col min="4067" max="4067" width="8.25" style="108"/>
    <col min="4068" max="4068" width="9.5" style="108" customWidth="1"/>
    <col min="4069" max="4069" width="8.25" style="108"/>
    <col min="4070" max="4070" width="14.58203125" style="108" customWidth="1"/>
    <col min="4071" max="4071" width="12.9140625" style="108" customWidth="1"/>
    <col min="4072" max="4072" width="12.83203125" style="108" customWidth="1"/>
    <col min="4073" max="4073" width="11.33203125" style="108" customWidth="1"/>
    <col min="4074" max="4074" width="11.08203125" style="108" customWidth="1"/>
    <col min="4075" max="4321" width="8.25" style="108"/>
    <col min="4322" max="4322" width="11.08203125" style="108" customWidth="1"/>
    <col min="4323" max="4323" width="8.25" style="108"/>
    <col min="4324" max="4324" width="9.5" style="108" customWidth="1"/>
    <col min="4325" max="4325" width="8.25" style="108"/>
    <col min="4326" max="4326" width="14.58203125" style="108" customWidth="1"/>
    <col min="4327" max="4327" width="12.9140625" style="108" customWidth="1"/>
    <col min="4328" max="4328" width="12.83203125" style="108" customWidth="1"/>
    <col min="4329" max="4329" width="11.33203125" style="108" customWidth="1"/>
    <col min="4330" max="4330" width="11.08203125" style="108" customWidth="1"/>
    <col min="4331" max="4577" width="8.25" style="108"/>
    <col min="4578" max="4578" width="11.08203125" style="108" customWidth="1"/>
    <col min="4579" max="4579" width="8.25" style="108"/>
    <col min="4580" max="4580" width="9.5" style="108" customWidth="1"/>
    <col min="4581" max="4581" width="8.25" style="108"/>
    <col min="4582" max="4582" width="14.58203125" style="108" customWidth="1"/>
    <col min="4583" max="4583" width="12.9140625" style="108" customWidth="1"/>
    <col min="4584" max="4584" width="12.83203125" style="108" customWidth="1"/>
    <col min="4585" max="4585" width="11.33203125" style="108" customWidth="1"/>
    <col min="4586" max="4586" width="11.08203125" style="108" customWidth="1"/>
    <col min="4587" max="4833" width="8.25" style="108"/>
    <col min="4834" max="4834" width="11.08203125" style="108" customWidth="1"/>
    <col min="4835" max="4835" width="8.25" style="108"/>
    <col min="4836" max="4836" width="9.5" style="108" customWidth="1"/>
    <col min="4837" max="4837" width="8.25" style="108"/>
    <col min="4838" max="4838" width="14.58203125" style="108" customWidth="1"/>
    <col min="4839" max="4839" width="12.9140625" style="108" customWidth="1"/>
    <col min="4840" max="4840" width="12.83203125" style="108" customWidth="1"/>
    <col min="4841" max="4841" width="11.33203125" style="108" customWidth="1"/>
    <col min="4842" max="4842" width="11.08203125" style="108" customWidth="1"/>
    <col min="4843" max="5089" width="8.25" style="108"/>
    <col min="5090" max="5090" width="11.08203125" style="108" customWidth="1"/>
    <col min="5091" max="5091" width="8.25" style="108"/>
    <col min="5092" max="5092" width="9.5" style="108" customWidth="1"/>
    <col min="5093" max="5093" width="8.25" style="108"/>
    <col min="5094" max="5094" width="14.58203125" style="108" customWidth="1"/>
    <col min="5095" max="5095" width="12.9140625" style="108" customWidth="1"/>
    <col min="5096" max="5096" width="12.83203125" style="108" customWidth="1"/>
    <col min="5097" max="5097" width="11.33203125" style="108" customWidth="1"/>
    <col min="5098" max="5098" width="11.08203125" style="108" customWidth="1"/>
    <col min="5099" max="5345" width="8.25" style="108"/>
    <col min="5346" max="5346" width="11.08203125" style="108" customWidth="1"/>
    <col min="5347" max="5347" width="8.25" style="108"/>
    <col min="5348" max="5348" width="9.5" style="108" customWidth="1"/>
    <col min="5349" max="5349" width="8.25" style="108"/>
    <col min="5350" max="5350" width="14.58203125" style="108" customWidth="1"/>
    <col min="5351" max="5351" width="12.9140625" style="108" customWidth="1"/>
    <col min="5352" max="5352" width="12.83203125" style="108" customWidth="1"/>
    <col min="5353" max="5353" width="11.33203125" style="108" customWidth="1"/>
    <col min="5354" max="5354" width="11.08203125" style="108" customWidth="1"/>
    <col min="5355" max="5601" width="8.25" style="108"/>
    <col min="5602" max="5602" width="11.08203125" style="108" customWidth="1"/>
    <col min="5603" max="5603" width="8.25" style="108"/>
    <col min="5604" max="5604" width="9.5" style="108" customWidth="1"/>
    <col min="5605" max="5605" width="8.25" style="108"/>
    <col min="5606" max="5606" width="14.58203125" style="108" customWidth="1"/>
    <col min="5607" max="5607" width="12.9140625" style="108" customWidth="1"/>
    <col min="5608" max="5608" width="12.83203125" style="108" customWidth="1"/>
    <col min="5609" max="5609" width="11.33203125" style="108" customWidth="1"/>
    <col min="5610" max="5610" width="11.08203125" style="108" customWidth="1"/>
    <col min="5611" max="5857" width="8.25" style="108"/>
    <col min="5858" max="5858" width="11.08203125" style="108" customWidth="1"/>
    <col min="5859" max="5859" width="8.25" style="108"/>
    <col min="5860" max="5860" width="9.5" style="108" customWidth="1"/>
    <col min="5861" max="5861" width="8.25" style="108"/>
    <col min="5862" max="5862" width="14.58203125" style="108" customWidth="1"/>
    <col min="5863" max="5863" width="12.9140625" style="108" customWidth="1"/>
    <col min="5864" max="5864" width="12.83203125" style="108" customWidth="1"/>
    <col min="5865" max="5865" width="11.33203125" style="108" customWidth="1"/>
    <col min="5866" max="5866" width="11.08203125" style="108" customWidth="1"/>
    <col min="5867" max="6113" width="8.25" style="108"/>
    <col min="6114" max="6114" width="11.08203125" style="108" customWidth="1"/>
    <col min="6115" max="6115" width="8.25" style="108"/>
    <col min="6116" max="6116" width="9.5" style="108" customWidth="1"/>
    <col min="6117" max="6117" width="8.25" style="108"/>
    <col min="6118" max="6118" width="14.58203125" style="108" customWidth="1"/>
    <col min="6119" max="6119" width="12.9140625" style="108" customWidth="1"/>
    <col min="6120" max="6120" width="12.83203125" style="108" customWidth="1"/>
    <col min="6121" max="6121" width="11.33203125" style="108" customWidth="1"/>
    <col min="6122" max="6122" width="11.08203125" style="108" customWidth="1"/>
    <col min="6123" max="6369" width="8.25" style="108"/>
    <col min="6370" max="6370" width="11.08203125" style="108" customWidth="1"/>
    <col min="6371" max="6371" width="8.25" style="108"/>
    <col min="6372" max="6372" width="9.5" style="108" customWidth="1"/>
    <col min="6373" max="6373" width="8.25" style="108"/>
    <col min="6374" max="6374" width="14.58203125" style="108" customWidth="1"/>
    <col min="6375" max="6375" width="12.9140625" style="108" customWidth="1"/>
    <col min="6376" max="6376" width="12.83203125" style="108" customWidth="1"/>
    <col min="6377" max="6377" width="11.33203125" style="108" customWidth="1"/>
    <col min="6378" max="6378" width="11.08203125" style="108" customWidth="1"/>
    <col min="6379" max="6625" width="8.25" style="108"/>
    <col min="6626" max="6626" width="11.08203125" style="108" customWidth="1"/>
    <col min="6627" max="6627" width="8.25" style="108"/>
    <col min="6628" max="6628" width="9.5" style="108" customWidth="1"/>
    <col min="6629" max="6629" width="8.25" style="108"/>
    <col min="6630" max="6630" width="14.58203125" style="108" customWidth="1"/>
    <col min="6631" max="6631" width="12.9140625" style="108" customWidth="1"/>
    <col min="6632" max="6632" width="12.83203125" style="108" customWidth="1"/>
    <col min="6633" max="6633" width="11.33203125" style="108" customWidth="1"/>
    <col min="6634" max="6634" width="11.08203125" style="108" customWidth="1"/>
    <col min="6635" max="6881" width="8.25" style="108"/>
    <col min="6882" max="6882" width="11.08203125" style="108" customWidth="1"/>
    <col min="6883" max="6883" width="8.25" style="108"/>
    <col min="6884" max="6884" width="9.5" style="108" customWidth="1"/>
    <col min="6885" max="6885" width="8.25" style="108"/>
    <col min="6886" max="6886" width="14.58203125" style="108" customWidth="1"/>
    <col min="6887" max="6887" width="12.9140625" style="108" customWidth="1"/>
    <col min="6888" max="6888" width="12.83203125" style="108" customWidth="1"/>
    <col min="6889" max="6889" width="11.33203125" style="108" customWidth="1"/>
    <col min="6890" max="6890" width="11.08203125" style="108" customWidth="1"/>
    <col min="6891" max="7137" width="8.25" style="108"/>
    <col min="7138" max="7138" width="11.08203125" style="108" customWidth="1"/>
    <col min="7139" max="7139" width="8.25" style="108"/>
    <col min="7140" max="7140" width="9.5" style="108" customWidth="1"/>
    <col min="7141" max="7141" width="8.25" style="108"/>
    <col min="7142" max="7142" width="14.58203125" style="108" customWidth="1"/>
    <col min="7143" max="7143" width="12.9140625" style="108" customWidth="1"/>
    <col min="7144" max="7144" width="12.83203125" style="108" customWidth="1"/>
    <col min="7145" max="7145" width="11.33203125" style="108" customWidth="1"/>
    <col min="7146" max="7146" width="11.08203125" style="108" customWidth="1"/>
    <col min="7147" max="7393" width="8.25" style="108"/>
    <col min="7394" max="7394" width="11.08203125" style="108" customWidth="1"/>
    <col min="7395" max="7395" width="8.25" style="108"/>
    <col min="7396" max="7396" width="9.5" style="108" customWidth="1"/>
    <col min="7397" max="7397" width="8.25" style="108"/>
    <col min="7398" max="7398" width="14.58203125" style="108" customWidth="1"/>
    <col min="7399" max="7399" width="12.9140625" style="108" customWidth="1"/>
    <col min="7400" max="7400" width="12.83203125" style="108" customWidth="1"/>
    <col min="7401" max="7401" width="11.33203125" style="108" customWidth="1"/>
    <col min="7402" max="7402" width="11.08203125" style="108" customWidth="1"/>
    <col min="7403" max="7649" width="8.25" style="108"/>
    <col min="7650" max="7650" width="11.08203125" style="108" customWidth="1"/>
    <col min="7651" max="7651" width="8.25" style="108"/>
    <col min="7652" max="7652" width="9.5" style="108" customWidth="1"/>
    <col min="7653" max="7653" width="8.25" style="108"/>
    <col min="7654" max="7654" width="14.58203125" style="108" customWidth="1"/>
    <col min="7655" max="7655" width="12.9140625" style="108" customWidth="1"/>
    <col min="7656" max="7656" width="12.83203125" style="108" customWidth="1"/>
    <col min="7657" max="7657" width="11.33203125" style="108" customWidth="1"/>
    <col min="7658" max="7658" width="11.08203125" style="108" customWidth="1"/>
    <col min="7659" max="7905" width="8.25" style="108"/>
    <col min="7906" max="7906" width="11.08203125" style="108" customWidth="1"/>
    <col min="7907" max="7907" width="8.25" style="108"/>
    <col min="7908" max="7908" width="9.5" style="108" customWidth="1"/>
    <col min="7909" max="7909" width="8.25" style="108"/>
    <col min="7910" max="7910" width="14.58203125" style="108" customWidth="1"/>
    <col min="7911" max="7911" width="12.9140625" style="108" customWidth="1"/>
    <col min="7912" max="7912" width="12.83203125" style="108" customWidth="1"/>
    <col min="7913" max="7913" width="11.33203125" style="108" customWidth="1"/>
    <col min="7914" max="7914" width="11.08203125" style="108" customWidth="1"/>
    <col min="7915" max="8161" width="8.25" style="108"/>
    <col min="8162" max="8162" width="11.08203125" style="108" customWidth="1"/>
    <col min="8163" max="8163" width="8.25" style="108"/>
    <col min="8164" max="8164" width="9.5" style="108" customWidth="1"/>
    <col min="8165" max="8165" width="8.25" style="108"/>
    <col min="8166" max="8166" width="14.58203125" style="108" customWidth="1"/>
    <col min="8167" max="8167" width="12.9140625" style="108" customWidth="1"/>
    <col min="8168" max="8168" width="12.83203125" style="108" customWidth="1"/>
    <col min="8169" max="8169" width="11.33203125" style="108" customWidth="1"/>
    <col min="8170" max="8170" width="11.08203125" style="108" customWidth="1"/>
    <col min="8171" max="8417" width="8.25" style="108"/>
    <col min="8418" max="8418" width="11.08203125" style="108" customWidth="1"/>
    <col min="8419" max="8419" width="8.25" style="108"/>
    <col min="8420" max="8420" width="9.5" style="108" customWidth="1"/>
    <col min="8421" max="8421" width="8.25" style="108"/>
    <col min="8422" max="8422" width="14.58203125" style="108" customWidth="1"/>
    <col min="8423" max="8423" width="12.9140625" style="108" customWidth="1"/>
    <col min="8424" max="8424" width="12.83203125" style="108" customWidth="1"/>
    <col min="8425" max="8425" width="11.33203125" style="108" customWidth="1"/>
    <col min="8426" max="8426" width="11.08203125" style="108" customWidth="1"/>
    <col min="8427" max="8673" width="8.25" style="108"/>
    <col min="8674" max="8674" width="11.08203125" style="108" customWidth="1"/>
    <col min="8675" max="8675" width="8.25" style="108"/>
    <col min="8676" max="8676" width="9.5" style="108" customWidth="1"/>
    <col min="8677" max="8677" width="8.25" style="108"/>
    <col min="8678" max="8678" width="14.58203125" style="108" customWidth="1"/>
    <col min="8679" max="8679" width="12.9140625" style="108" customWidth="1"/>
    <col min="8680" max="8680" width="12.83203125" style="108" customWidth="1"/>
    <col min="8681" max="8681" width="11.33203125" style="108" customWidth="1"/>
    <col min="8682" max="8682" width="11.08203125" style="108" customWidth="1"/>
    <col min="8683" max="8929" width="8.25" style="108"/>
    <col min="8930" max="8930" width="11.08203125" style="108" customWidth="1"/>
    <col min="8931" max="8931" width="8.25" style="108"/>
    <col min="8932" max="8932" width="9.5" style="108" customWidth="1"/>
    <col min="8933" max="8933" width="8.25" style="108"/>
    <col min="8934" max="8934" width="14.58203125" style="108" customWidth="1"/>
    <col min="8935" max="8935" width="12.9140625" style="108" customWidth="1"/>
    <col min="8936" max="8936" width="12.83203125" style="108" customWidth="1"/>
    <col min="8937" max="8937" width="11.33203125" style="108" customWidth="1"/>
    <col min="8938" max="8938" width="11.08203125" style="108" customWidth="1"/>
    <col min="8939" max="9185" width="8.25" style="108"/>
    <col min="9186" max="9186" width="11.08203125" style="108" customWidth="1"/>
    <col min="9187" max="9187" width="8.25" style="108"/>
    <col min="9188" max="9188" width="9.5" style="108" customWidth="1"/>
    <col min="9189" max="9189" width="8.25" style="108"/>
    <col min="9190" max="9190" width="14.58203125" style="108" customWidth="1"/>
    <col min="9191" max="9191" width="12.9140625" style="108" customWidth="1"/>
    <col min="9192" max="9192" width="12.83203125" style="108" customWidth="1"/>
    <col min="9193" max="9193" width="11.33203125" style="108" customWidth="1"/>
    <col min="9194" max="9194" width="11.08203125" style="108" customWidth="1"/>
    <col min="9195" max="9441" width="8.25" style="108"/>
    <col min="9442" max="9442" width="11.08203125" style="108" customWidth="1"/>
    <col min="9443" max="9443" width="8.25" style="108"/>
    <col min="9444" max="9444" width="9.5" style="108" customWidth="1"/>
    <col min="9445" max="9445" width="8.25" style="108"/>
    <col min="9446" max="9446" width="14.58203125" style="108" customWidth="1"/>
    <col min="9447" max="9447" width="12.9140625" style="108" customWidth="1"/>
    <col min="9448" max="9448" width="12.83203125" style="108" customWidth="1"/>
    <col min="9449" max="9449" width="11.33203125" style="108" customWidth="1"/>
    <col min="9450" max="9450" width="11.08203125" style="108" customWidth="1"/>
    <col min="9451" max="9697" width="8.25" style="108"/>
    <col min="9698" max="9698" width="11.08203125" style="108" customWidth="1"/>
    <col min="9699" max="9699" width="8.25" style="108"/>
    <col min="9700" max="9700" width="9.5" style="108" customWidth="1"/>
    <col min="9701" max="9701" width="8.25" style="108"/>
    <col min="9702" max="9702" width="14.58203125" style="108" customWidth="1"/>
    <col min="9703" max="9703" width="12.9140625" style="108" customWidth="1"/>
    <col min="9704" max="9704" width="12.83203125" style="108" customWidth="1"/>
    <col min="9705" max="9705" width="11.33203125" style="108" customWidth="1"/>
    <col min="9706" max="9706" width="11.08203125" style="108" customWidth="1"/>
    <col min="9707" max="9953" width="8.25" style="108"/>
    <col min="9954" max="9954" width="11.08203125" style="108" customWidth="1"/>
    <col min="9955" max="9955" width="8.25" style="108"/>
    <col min="9956" max="9956" width="9.5" style="108" customWidth="1"/>
    <col min="9957" max="9957" width="8.25" style="108"/>
    <col min="9958" max="9958" width="14.58203125" style="108" customWidth="1"/>
    <col min="9959" max="9959" width="12.9140625" style="108" customWidth="1"/>
    <col min="9960" max="9960" width="12.83203125" style="108" customWidth="1"/>
    <col min="9961" max="9961" width="11.33203125" style="108" customWidth="1"/>
    <col min="9962" max="9962" width="11.08203125" style="108" customWidth="1"/>
    <col min="9963" max="10209" width="8.25" style="108"/>
    <col min="10210" max="10210" width="11.08203125" style="108" customWidth="1"/>
    <col min="10211" max="10211" width="8.25" style="108"/>
    <col min="10212" max="10212" width="9.5" style="108" customWidth="1"/>
    <col min="10213" max="10213" width="8.25" style="108"/>
    <col min="10214" max="10214" width="14.58203125" style="108" customWidth="1"/>
    <col min="10215" max="10215" width="12.9140625" style="108" customWidth="1"/>
    <col min="10216" max="10216" width="12.83203125" style="108" customWidth="1"/>
    <col min="10217" max="10217" width="11.33203125" style="108" customWidth="1"/>
    <col min="10218" max="10218" width="11.08203125" style="108" customWidth="1"/>
    <col min="10219" max="10465" width="8.25" style="108"/>
    <col min="10466" max="10466" width="11.08203125" style="108" customWidth="1"/>
    <col min="10467" max="10467" width="8.25" style="108"/>
    <col min="10468" max="10468" width="9.5" style="108" customWidth="1"/>
    <col min="10469" max="10469" width="8.25" style="108"/>
    <col min="10470" max="10470" width="14.58203125" style="108" customWidth="1"/>
    <col min="10471" max="10471" width="12.9140625" style="108" customWidth="1"/>
    <col min="10472" max="10472" width="12.83203125" style="108" customWidth="1"/>
    <col min="10473" max="10473" width="11.33203125" style="108" customWidth="1"/>
    <col min="10474" max="10474" width="11.08203125" style="108" customWidth="1"/>
    <col min="10475" max="10721" width="8.25" style="108"/>
    <col min="10722" max="10722" width="11.08203125" style="108" customWidth="1"/>
    <col min="10723" max="10723" width="8.25" style="108"/>
    <col min="10724" max="10724" width="9.5" style="108" customWidth="1"/>
    <col min="10725" max="10725" width="8.25" style="108"/>
    <col min="10726" max="10726" width="14.58203125" style="108" customWidth="1"/>
    <col min="10727" max="10727" width="12.9140625" style="108" customWidth="1"/>
    <col min="10728" max="10728" width="12.83203125" style="108" customWidth="1"/>
    <col min="10729" max="10729" width="11.33203125" style="108" customWidth="1"/>
    <col min="10730" max="10730" width="11.08203125" style="108" customWidth="1"/>
    <col min="10731" max="10977" width="8.25" style="108"/>
    <col min="10978" max="10978" width="11.08203125" style="108" customWidth="1"/>
    <col min="10979" max="10979" width="8.25" style="108"/>
    <col min="10980" max="10980" width="9.5" style="108" customWidth="1"/>
    <col min="10981" max="10981" width="8.25" style="108"/>
    <col min="10982" max="10982" width="14.58203125" style="108" customWidth="1"/>
    <col min="10983" max="10983" width="12.9140625" style="108" customWidth="1"/>
    <col min="10984" max="10984" width="12.83203125" style="108" customWidth="1"/>
    <col min="10985" max="10985" width="11.33203125" style="108" customWidth="1"/>
    <col min="10986" max="10986" width="11.08203125" style="108" customWidth="1"/>
    <col min="10987" max="11233" width="8.25" style="108"/>
    <col min="11234" max="11234" width="11.08203125" style="108" customWidth="1"/>
    <col min="11235" max="11235" width="8.25" style="108"/>
    <col min="11236" max="11236" width="9.5" style="108" customWidth="1"/>
    <col min="11237" max="11237" width="8.25" style="108"/>
    <col min="11238" max="11238" width="14.58203125" style="108" customWidth="1"/>
    <col min="11239" max="11239" width="12.9140625" style="108" customWidth="1"/>
    <col min="11240" max="11240" width="12.83203125" style="108" customWidth="1"/>
    <col min="11241" max="11241" width="11.33203125" style="108" customWidth="1"/>
    <col min="11242" max="11242" width="11.08203125" style="108" customWidth="1"/>
    <col min="11243" max="11489" width="8.25" style="108"/>
    <col min="11490" max="11490" width="11.08203125" style="108" customWidth="1"/>
    <col min="11491" max="11491" width="8.25" style="108"/>
    <col min="11492" max="11492" width="9.5" style="108" customWidth="1"/>
    <col min="11493" max="11493" width="8.25" style="108"/>
    <col min="11494" max="11494" width="14.58203125" style="108" customWidth="1"/>
    <col min="11495" max="11495" width="12.9140625" style="108" customWidth="1"/>
    <col min="11496" max="11496" width="12.83203125" style="108" customWidth="1"/>
    <col min="11497" max="11497" width="11.33203125" style="108" customWidth="1"/>
    <col min="11498" max="11498" width="11.08203125" style="108" customWidth="1"/>
    <col min="11499" max="11745" width="8.25" style="108"/>
    <col min="11746" max="11746" width="11.08203125" style="108" customWidth="1"/>
    <col min="11747" max="11747" width="8.25" style="108"/>
    <col min="11748" max="11748" width="9.5" style="108" customWidth="1"/>
    <col min="11749" max="11749" width="8.25" style="108"/>
    <col min="11750" max="11750" width="14.58203125" style="108" customWidth="1"/>
    <col min="11751" max="11751" width="12.9140625" style="108" customWidth="1"/>
    <col min="11752" max="11752" width="12.83203125" style="108" customWidth="1"/>
    <col min="11753" max="11753" width="11.33203125" style="108" customWidth="1"/>
    <col min="11754" max="11754" width="11.08203125" style="108" customWidth="1"/>
    <col min="11755" max="12001" width="8.25" style="108"/>
    <col min="12002" max="12002" width="11.08203125" style="108" customWidth="1"/>
    <col min="12003" max="12003" width="8.25" style="108"/>
    <col min="12004" max="12004" width="9.5" style="108" customWidth="1"/>
    <col min="12005" max="12005" width="8.25" style="108"/>
    <col min="12006" max="12006" width="14.58203125" style="108" customWidth="1"/>
    <col min="12007" max="12007" width="12.9140625" style="108" customWidth="1"/>
    <col min="12008" max="12008" width="12.83203125" style="108" customWidth="1"/>
    <col min="12009" max="12009" width="11.33203125" style="108" customWidth="1"/>
    <col min="12010" max="12010" width="11.08203125" style="108" customWidth="1"/>
    <col min="12011" max="12257" width="8.25" style="108"/>
    <col min="12258" max="12258" width="11.08203125" style="108" customWidth="1"/>
    <col min="12259" max="12259" width="8.25" style="108"/>
    <col min="12260" max="12260" width="9.5" style="108" customWidth="1"/>
    <col min="12261" max="12261" width="8.25" style="108"/>
    <col min="12262" max="12262" width="14.58203125" style="108" customWidth="1"/>
    <col min="12263" max="12263" width="12.9140625" style="108" customWidth="1"/>
    <col min="12264" max="12264" width="12.83203125" style="108" customWidth="1"/>
    <col min="12265" max="12265" width="11.33203125" style="108" customWidth="1"/>
    <col min="12266" max="12266" width="11.08203125" style="108" customWidth="1"/>
    <col min="12267" max="12513" width="8.25" style="108"/>
    <col min="12514" max="12514" width="11.08203125" style="108" customWidth="1"/>
    <col min="12515" max="12515" width="8.25" style="108"/>
    <col min="12516" max="12516" width="9.5" style="108" customWidth="1"/>
    <col min="12517" max="12517" width="8.25" style="108"/>
    <col min="12518" max="12518" width="14.58203125" style="108" customWidth="1"/>
    <col min="12519" max="12519" width="12.9140625" style="108" customWidth="1"/>
    <col min="12520" max="12520" width="12.83203125" style="108" customWidth="1"/>
    <col min="12521" max="12521" width="11.33203125" style="108" customWidth="1"/>
    <col min="12522" max="12522" width="11.08203125" style="108" customWidth="1"/>
    <col min="12523" max="12769" width="8.25" style="108"/>
    <col min="12770" max="12770" width="11.08203125" style="108" customWidth="1"/>
    <col min="12771" max="12771" width="8.25" style="108"/>
    <col min="12772" max="12772" width="9.5" style="108" customWidth="1"/>
    <col min="12773" max="12773" width="8.25" style="108"/>
    <col min="12774" max="12774" width="14.58203125" style="108" customWidth="1"/>
    <col min="12775" max="12775" width="12.9140625" style="108" customWidth="1"/>
    <col min="12776" max="12776" width="12.83203125" style="108" customWidth="1"/>
    <col min="12777" max="12777" width="11.33203125" style="108" customWidth="1"/>
    <col min="12778" max="12778" width="11.08203125" style="108" customWidth="1"/>
    <col min="12779" max="13025" width="8.25" style="108"/>
    <col min="13026" max="13026" width="11.08203125" style="108" customWidth="1"/>
    <col min="13027" max="13027" width="8.25" style="108"/>
    <col min="13028" max="13028" width="9.5" style="108" customWidth="1"/>
    <col min="13029" max="13029" width="8.25" style="108"/>
    <col min="13030" max="13030" width="14.58203125" style="108" customWidth="1"/>
    <col min="13031" max="13031" width="12.9140625" style="108" customWidth="1"/>
    <col min="13032" max="13032" width="12.83203125" style="108" customWidth="1"/>
    <col min="13033" max="13033" width="11.33203125" style="108" customWidth="1"/>
    <col min="13034" max="13034" width="11.08203125" style="108" customWidth="1"/>
    <col min="13035" max="13281" width="8.25" style="108"/>
    <col min="13282" max="13282" width="11.08203125" style="108" customWidth="1"/>
    <col min="13283" max="13283" width="8.25" style="108"/>
    <col min="13284" max="13284" width="9.5" style="108" customWidth="1"/>
    <col min="13285" max="13285" width="8.25" style="108"/>
    <col min="13286" max="13286" width="14.58203125" style="108" customWidth="1"/>
    <col min="13287" max="13287" width="12.9140625" style="108" customWidth="1"/>
    <col min="13288" max="13288" width="12.83203125" style="108" customWidth="1"/>
    <col min="13289" max="13289" width="11.33203125" style="108" customWidth="1"/>
    <col min="13290" max="13290" width="11.08203125" style="108" customWidth="1"/>
    <col min="13291" max="13537" width="8.25" style="108"/>
    <col min="13538" max="13538" width="11.08203125" style="108" customWidth="1"/>
    <col min="13539" max="13539" width="8.25" style="108"/>
    <col min="13540" max="13540" width="9.5" style="108" customWidth="1"/>
    <col min="13541" max="13541" width="8.25" style="108"/>
    <col min="13542" max="13542" width="14.58203125" style="108" customWidth="1"/>
    <col min="13543" max="13543" width="12.9140625" style="108" customWidth="1"/>
    <col min="13544" max="13544" width="12.83203125" style="108" customWidth="1"/>
    <col min="13545" max="13545" width="11.33203125" style="108" customWidth="1"/>
    <col min="13546" max="13546" width="11.08203125" style="108" customWidth="1"/>
    <col min="13547" max="13793" width="8.25" style="108"/>
    <col min="13794" max="13794" width="11.08203125" style="108" customWidth="1"/>
    <col min="13795" max="13795" width="8.25" style="108"/>
    <col min="13796" max="13796" width="9.5" style="108" customWidth="1"/>
    <col min="13797" max="13797" width="8.25" style="108"/>
    <col min="13798" max="13798" width="14.58203125" style="108" customWidth="1"/>
    <col min="13799" max="13799" width="12.9140625" style="108" customWidth="1"/>
    <col min="13800" max="13800" width="12.83203125" style="108" customWidth="1"/>
    <col min="13801" max="13801" width="11.33203125" style="108" customWidth="1"/>
    <col min="13802" max="13802" width="11.08203125" style="108" customWidth="1"/>
    <col min="13803" max="14049" width="8.25" style="108"/>
    <col min="14050" max="14050" width="11.08203125" style="108" customWidth="1"/>
    <col min="14051" max="14051" width="8.25" style="108"/>
    <col min="14052" max="14052" width="9.5" style="108" customWidth="1"/>
    <col min="14053" max="14053" width="8.25" style="108"/>
    <col min="14054" max="14054" width="14.58203125" style="108" customWidth="1"/>
    <col min="14055" max="14055" width="12.9140625" style="108" customWidth="1"/>
    <col min="14056" max="14056" width="12.83203125" style="108" customWidth="1"/>
    <col min="14057" max="14057" width="11.33203125" style="108" customWidth="1"/>
    <col min="14058" max="14058" width="11.08203125" style="108" customWidth="1"/>
    <col min="14059" max="14305" width="8.25" style="108"/>
    <col min="14306" max="14306" width="11.08203125" style="108" customWidth="1"/>
    <col min="14307" max="14307" width="8.25" style="108"/>
    <col min="14308" max="14308" width="9.5" style="108" customWidth="1"/>
    <col min="14309" max="14309" width="8.25" style="108"/>
    <col min="14310" max="14310" width="14.58203125" style="108" customWidth="1"/>
    <col min="14311" max="14311" width="12.9140625" style="108" customWidth="1"/>
    <col min="14312" max="14312" width="12.83203125" style="108" customWidth="1"/>
    <col min="14313" max="14313" width="11.33203125" style="108" customWidth="1"/>
    <col min="14314" max="14314" width="11.08203125" style="108" customWidth="1"/>
    <col min="14315" max="14561" width="8.25" style="108"/>
    <col min="14562" max="14562" width="11.08203125" style="108" customWidth="1"/>
    <col min="14563" max="14563" width="8.25" style="108"/>
    <col min="14564" max="14564" width="9.5" style="108" customWidth="1"/>
    <col min="14565" max="14565" width="8.25" style="108"/>
    <col min="14566" max="14566" width="14.58203125" style="108" customWidth="1"/>
    <col min="14567" max="14567" width="12.9140625" style="108" customWidth="1"/>
    <col min="14568" max="14568" width="12.83203125" style="108" customWidth="1"/>
    <col min="14569" max="14569" width="11.33203125" style="108" customWidth="1"/>
    <col min="14570" max="14570" width="11.08203125" style="108" customWidth="1"/>
    <col min="14571" max="14817" width="8.25" style="108"/>
    <col min="14818" max="14818" width="11.08203125" style="108" customWidth="1"/>
    <col min="14819" max="14819" width="8.25" style="108"/>
    <col min="14820" max="14820" width="9.5" style="108" customWidth="1"/>
    <col min="14821" max="14821" width="8.25" style="108"/>
    <col min="14822" max="14822" width="14.58203125" style="108" customWidth="1"/>
    <col min="14823" max="14823" width="12.9140625" style="108" customWidth="1"/>
    <col min="14824" max="14824" width="12.83203125" style="108" customWidth="1"/>
    <col min="14825" max="14825" width="11.33203125" style="108" customWidth="1"/>
    <col min="14826" max="14826" width="11.08203125" style="108" customWidth="1"/>
    <col min="14827" max="15073" width="8.25" style="108"/>
    <col min="15074" max="15074" width="11.08203125" style="108" customWidth="1"/>
    <col min="15075" max="15075" width="8.25" style="108"/>
    <col min="15076" max="15076" width="9.5" style="108" customWidth="1"/>
    <col min="15077" max="15077" width="8.25" style="108"/>
    <col min="15078" max="15078" width="14.58203125" style="108" customWidth="1"/>
    <col min="15079" max="15079" width="12.9140625" style="108" customWidth="1"/>
    <col min="15080" max="15080" width="12.83203125" style="108" customWidth="1"/>
    <col min="15081" max="15081" width="11.33203125" style="108" customWidth="1"/>
    <col min="15082" max="15082" width="11.08203125" style="108" customWidth="1"/>
    <col min="15083" max="15329" width="8.25" style="108"/>
    <col min="15330" max="15330" width="11.08203125" style="108" customWidth="1"/>
    <col min="15331" max="15331" width="8.25" style="108"/>
    <col min="15332" max="15332" width="9.5" style="108" customWidth="1"/>
    <col min="15333" max="15333" width="8.25" style="108"/>
    <col min="15334" max="15334" width="14.58203125" style="108" customWidth="1"/>
    <col min="15335" max="15335" width="12.9140625" style="108" customWidth="1"/>
    <col min="15336" max="15336" width="12.83203125" style="108" customWidth="1"/>
    <col min="15337" max="15337" width="11.33203125" style="108" customWidth="1"/>
    <col min="15338" max="15338" width="11.08203125" style="108" customWidth="1"/>
    <col min="15339" max="15585" width="8.25" style="108"/>
    <col min="15586" max="15586" width="11.08203125" style="108" customWidth="1"/>
    <col min="15587" max="15587" width="8.25" style="108"/>
    <col min="15588" max="15588" width="9.5" style="108" customWidth="1"/>
    <col min="15589" max="15589" width="8.25" style="108"/>
    <col min="15590" max="15590" width="14.58203125" style="108" customWidth="1"/>
    <col min="15591" max="15591" width="12.9140625" style="108" customWidth="1"/>
    <col min="15592" max="15592" width="12.83203125" style="108" customWidth="1"/>
    <col min="15593" max="15593" width="11.33203125" style="108" customWidth="1"/>
    <col min="15594" max="15594" width="11.08203125" style="108" customWidth="1"/>
    <col min="15595" max="15841" width="8.25" style="108"/>
    <col min="15842" max="15842" width="11.08203125" style="108" customWidth="1"/>
    <col min="15843" max="15843" width="8.25" style="108"/>
    <col min="15844" max="15844" width="9.5" style="108" customWidth="1"/>
    <col min="15845" max="15845" width="8.25" style="108"/>
    <col min="15846" max="15846" width="14.58203125" style="108" customWidth="1"/>
    <col min="15847" max="15847" width="12.9140625" style="108" customWidth="1"/>
    <col min="15848" max="15848" width="12.83203125" style="108" customWidth="1"/>
    <col min="15849" max="15849" width="11.33203125" style="108" customWidth="1"/>
    <col min="15850" max="15850" width="11.08203125" style="108" customWidth="1"/>
    <col min="15851" max="16097" width="8.25" style="108"/>
    <col min="16098" max="16098" width="11.08203125" style="108" customWidth="1"/>
    <col min="16099" max="16099" width="8.25" style="108"/>
    <col min="16100" max="16100" width="9.5" style="108" customWidth="1"/>
    <col min="16101" max="16101" width="8.25" style="108"/>
    <col min="16102" max="16102" width="14.58203125" style="108" customWidth="1"/>
    <col min="16103" max="16103" width="12.9140625" style="108" customWidth="1"/>
    <col min="16104" max="16104" width="12.83203125" style="108" customWidth="1"/>
    <col min="16105" max="16105" width="11.33203125" style="108" customWidth="1"/>
    <col min="16106" max="16106" width="11.08203125" style="108" customWidth="1"/>
    <col min="16107" max="16384" width="8.25" style="108"/>
  </cols>
  <sheetData>
    <row r="1" spans="1:26" s="96" customFormat="1" ht="45">
      <c r="A1" s="95"/>
      <c r="B1" s="95"/>
      <c r="C1" s="95"/>
      <c r="D1" s="95"/>
      <c r="E1" s="95"/>
      <c r="F1" s="95"/>
      <c r="G1" s="95"/>
      <c r="H1" s="95"/>
      <c r="I1" s="95"/>
      <c r="J1" s="167" t="str">
        <f>INDEX(基本信息!E:E,MATCH(H3,基本信息!D:D,0))</f>
        <v>*SZ04999100-4300-001*</v>
      </c>
      <c r="M1" s="66" t="str">
        <f>HYPERLINK("#基本信息!I1","返回基本信息")</f>
        <v>返回基本信息</v>
      </c>
      <c r="N1" s="192"/>
      <c r="O1" s="192"/>
      <c r="P1" s="192"/>
      <c r="Q1" s="193" t="s">
        <v>276</v>
      </c>
      <c r="R1" s="192"/>
      <c r="S1" s="192"/>
      <c r="T1" s="192"/>
      <c r="U1" s="192"/>
      <c r="V1" s="192"/>
      <c r="W1" s="192"/>
      <c r="X1" s="192"/>
      <c r="Y1" s="192"/>
      <c r="Z1" s="192"/>
    </row>
    <row r="2" spans="1:26" s="96" customFormat="1" ht="17.5">
      <c r="A2" s="431" t="s">
        <v>187</v>
      </c>
      <c r="B2" s="431"/>
      <c r="C2" s="431"/>
      <c r="D2" s="431"/>
      <c r="E2" s="431"/>
      <c r="F2" s="431"/>
      <c r="G2" s="431"/>
      <c r="H2" s="431"/>
      <c r="I2" s="431"/>
      <c r="J2" s="431"/>
      <c r="M2" s="66" t="str">
        <f>HYPERLINK("#操作平台!A3","返回操作平台")</f>
        <v>返回操作平台</v>
      </c>
      <c r="N2" s="192"/>
      <c r="O2" s="192"/>
      <c r="P2" s="192"/>
      <c r="Q2" s="192" t="s">
        <v>272</v>
      </c>
      <c r="R2" s="192" t="s">
        <v>282</v>
      </c>
      <c r="S2" s="192"/>
      <c r="T2" s="192"/>
      <c r="U2" s="192"/>
      <c r="V2" s="192"/>
      <c r="W2" s="192"/>
      <c r="X2" s="192"/>
      <c r="Y2" s="192"/>
      <c r="Z2" s="192"/>
    </row>
    <row r="3" spans="1:26" s="96" customFormat="1" ht="15.5">
      <c r="A3" s="97"/>
      <c r="B3" s="97"/>
      <c r="C3" s="97"/>
      <c r="D3" s="97"/>
      <c r="E3" s="97"/>
      <c r="F3" s="98"/>
      <c r="G3" s="99" t="s">
        <v>188</v>
      </c>
      <c r="H3" s="168" t="s">
        <v>57</v>
      </c>
      <c r="I3" s="168"/>
      <c r="J3" s="168"/>
      <c r="M3" s="12"/>
      <c r="N3" s="192"/>
      <c r="O3" s="192"/>
      <c r="P3" s="192"/>
      <c r="Q3" s="192" t="s">
        <v>273</v>
      </c>
      <c r="R3" s="192" t="s">
        <v>278</v>
      </c>
      <c r="S3" s="192"/>
      <c r="T3" s="192"/>
      <c r="U3" s="192"/>
      <c r="V3" s="192"/>
      <c r="W3" s="192"/>
      <c r="X3" s="192"/>
      <c r="Y3" s="192"/>
      <c r="Z3" s="192"/>
    </row>
    <row r="4" spans="1:26" s="96" customFormat="1" ht="15.5">
      <c r="A4" s="100" t="str">
        <f>"致："&amp;INDEX(基本信息!C:C,MATCH(H3,基本信息!D:D,0))</f>
        <v>致：客户001</v>
      </c>
      <c r="B4" s="101"/>
      <c r="C4" s="101"/>
      <c r="D4" s="101"/>
      <c r="E4" s="101"/>
      <c r="F4" s="101"/>
      <c r="G4" s="101"/>
      <c r="H4" s="102"/>
      <c r="I4" s="103"/>
      <c r="J4" s="104"/>
      <c r="M4" s="82" t="str">
        <f>HYPERLINK("#使用说明!B2","返回模板池")</f>
        <v>返回模板池</v>
      </c>
      <c r="N4" s="192"/>
      <c r="O4" s="192"/>
      <c r="P4" s="192"/>
      <c r="Q4" s="192" t="s">
        <v>274</v>
      </c>
      <c r="R4" s="192" t="s">
        <v>280</v>
      </c>
      <c r="S4" s="192"/>
      <c r="T4" s="192"/>
      <c r="U4" s="192"/>
      <c r="V4" s="192"/>
      <c r="W4" s="192"/>
      <c r="X4" s="192"/>
      <c r="Y4" s="192"/>
      <c r="Z4" s="192"/>
    </row>
    <row r="5" spans="1:26" s="96" customFormat="1" ht="15.5">
      <c r="A5" s="346" t="s">
        <v>189</v>
      </c>
      <c r="B5" s="346"/>
      <c r="C5" s="346"/>
      <c r="D5" s="346"/>
      <c r="E5" s="346"/>
      <c r="F5" s="346"/>
      <c r="G5" s="346"/>
      <c r="H5" s="346"/>
      <c r="I5" s="346"/>
      <c r="J5" s="346"/>
      <c r="N5" s="192"/>
      <c r="O5" s="192"/>
      <c r="P5" s="192"/>
      <c r="Q5" s="192" t="s">
        <v>275</v>
      </c>
      <c r="R5" s="192" t="s">
        <v>284</v>
      </c>
      <c r="S5" s="192"/>
      <c r="T5" s="192"/>
      <c r="U5" s="192"/>
      <c r="V5" s="192"/>
      <c r="W5" s="192"/>
      <c r="X5" s="192"/>
      <c r="Y5" s="192"/>
      <c r="Z5" s="192"/>
    </row>
    <row r="6" spans="1:26" s="96" customFormat="1" ht="15.5">
      <c r="A6" s="346"/>
      <c r="B6" s="346"/>
      <c r="C6" s="346"/>
      <c r="D6" s="346"/>
      <c r="E6" s="346"/>
      <c r="F6" s="346"/>
      <c r="G6" s="346"/>
      <c r="H6" s="346"/>
      <c r="I6" s="346"/>
      <c r="J6" s="346"/>
      <c r="N6" s="192"/>
      <c r="O6" s="192"/>
      <c r="P6" s="192"/>
      <c r="Q6" s="192" t="s">
        <v>181</v>
      </c>
      <c r="R6" s="193" t="s">
        <v>285</v>
      </c>
      <c r="S6" s="192"/>
      <c r="T6" s="192"/>
      <c r="U6" s="192"/>
      <c r="V6" s="192"/>
      <c r="W6" s="192"/>
      <c r="X6" s="192"/>
      <c r="Y6" s="192"/>
      <c r="Z6" s="192"/>
    </row>
    <row r="7" spans="1:26" s="96" customFormat="1" ht="15.5">
      <c r="A7" s="346"/>
      <c r="B7" s="346"/>
      <c r="C7" s="346"/>
      <c r="D7" s="346"/>
      <c r="E7" s="346"/>
      <c r="F7" s="346"/>
      <c r="G7" s="346"/>
      <c r="H7" s="346"/>
      <c r="I7" s="346"/>
      <c r="J7" s="346"/>
      <c r="N7" s="192"/>
      <c r="O7" s="192"/>
      <c r="P7" s="192"/>
      <c r="Q7" s="192"/>
      <c r="R7" s="192"/>
      <c r="S7" s="192"/>
      <c r="T7" s="192"/>
      <c r="U7" s="192"/>
      <c r="V7" s="192"/>
      <c r="W7" s="192"/>
      <c r="X7" s="192"/>
      <c r="Y7" s="192"/>
      <c r="Z7" s="192"/>
    </row>
    <row r="8" spans="1:26" s="96" customFormat="1" ht="15.5">
      <c r="A8" s="346"/>
      <c r="B8" s="346"/>
      <c r="C8" s="346"/>
      <c r="D8" s="346"/>
      <c r="E8" s="346"/>
      <c r="F8" s="346"/>
      <c r="G8" s="346"/>
      <c r="H8" s="346"/>
      <c r="I8" s="346"/>
      <c r="J8" s="346"/>
      <c r="N8" s="192"/>
      <c r="O8" s="192"/>
      <c r="P8" s="192"/>
      <c r="Q8" s="192"/>
      <c r="R8" s="192"/>
      <c r="S8" s="192"/>
      <c r="T8" s="192"/>
      <c r="U8" s="192"/>
      <c r="V8" s="192"/>
      <c r="W8" s="192"/>
      <c r="X8" s="192"/>
      <c r="Y8" s="192"/>
      <c r="Z8" s="192"/>
    </row>
    <row r="9" spans="1:26" s="96" customFormat="1" ht="16" thickBot="1">
      <c r="A9" s="346"/>
      <c r="B9" s="346"/>
      <c r="C9" s="346"/>
      <c r="D9" s="346"/>
      <c r="E9" s="346"/>
      <c r="F9" s="346"/>
      <c r="G9" s="346"/>
      <c r="H9" s="346"/>
      <c r="I9" s="346"/>
      <c r="J9" s="346"/>
      <c r="N9" s="193" t="s">
        <v>268</v>
      </c>
      <c r="O9" s="192"/>
      <c r="P9" s="192"/>
      <c r="Q9" s="192"/>
      <c r="R9" s="192"/>
      <c r="S9" s="192"/>
      <c r="T9" s="192"/>
      <c r="U9" s="192"/>
      <c r="V9" s="192"/>
      <c r="W9" s="192"/>
      <c r="X9" s="192"/>
      <c r="Y9" s="192"/>
      <c r="Z9" s="192"/>
    </row>
    <row r="10" spans="1:26" s="96" customFormat="1" ht="15.5">
      <c r="A10" s="105" t="s">
        <v>190</v>
      </c>
      <c r="B10" s="98"/>
      <c r="C10" s="98"/>
      <c r="D10" s="98"/>
      <c r="E10" s="98"/>
      <c r="F10" s="98"/>
      <c r="G10" s="106"/>
      <c r="H10" s="98"/>
      <c r="I10" s="98"/>
      <c r="J10" s="98"/>
      <c r="N10" s="193" t="s">
        <v>266</v>
      </c>
      <c r="O10" s="193" t="s">
        <v>267</v>
      </c>
      <c r="P10" s="193" t="s">
        <v>297</v>
      </c>
      <c r="Q10" s="347" t="s">
        <v>271</v>
      </c>
      <c r="R10" s="348"/>
      <c r="S10" s="348"/>
      <c r="T10" s="348"/>
      <c r="U10" s="348"/>
      <c r="V10" s="348"/>
      <c r="W10" s="348"/>
      <c r="X10" s="348"/>
      <c r="Y10" s="348"/>
      <c r="Z10" s="349"/>
    </row>
    <row r="11" spans="1:26" s="96" customFormat="1" ht="15.5">
      <c r="A11" s="105" t="s">
        <v>191</v>
      </c>
      <c r="B11" s="98"/>
      <c r="C11" s="98"/>
      <c r="D11" s="98"/>
      <c r="E11" s="98"/>
      <c r="F11" s="98"/>
      <c r="G11" s="98"/>
      <c r="H11" s="98"/>
      <c r="I11" s="98"/>
      <c r="J11" s="98"/>
      <c r="N11" s="193" t="s">
        <v>263</v>
      </c>
      <c r="O11" s="194">
        <v>18</v>
      </c>
      <c r="P11" s="195" t="s">
        <v>297</v>
      </c>
      <c r="Q11" s="184" t="s">
        <v>137</v>
      </c>
      <c r="R11" s="322" t="s">
        <v>138</v>
      </c>
      <c r="S11" s="322"/>
      <c r="T11" s="182" t="s">
        <v>139</v>
      </c>
      <c r="U11" s="182" t="s">
        <v>140</v>
      </c>
      <c r="V11" s="182" t="s">
        <v>196</v>
      </c>
      <c r="W11" s="182" t="s">
        <v>141</v>
      </c>
      <c r="X11" s="182" t="s">
        <v>197</v>
      </c>
      <c r="Y11" s="183" t="s">
        <v>198</v>
      </c>
      <c r="Z11" s="185" t="s">
        <v>142</v>
      </c>
    </row>
    <row r="12" spans="1:26" s="96" customFormat="1" ht="15.5">
      <c r="A12" s="105" t="s">
        <v>262</v>
      </c>
      <c r="B12" s="98"/>
      <c r="C12" s="98"/>
      <c r="D12" s="432" t="s">
        <v>192</v>
      </c>
      <c r="E12" s="432"/>
      <c r="F12" s="350">
        <v>12345678901</v>
      </c>
      <c r="G12" s="350"/>
      <c r="H12" s="98"/>
      <c r="I12" s="99" t="s">
        <v>193</v>
      </c>
      <c r="J12" s="107">
        <v>518000</v>
      </c>
      <c r="N12" s="193" t="s">
        <v>264</v>
      </c>
      <c r="O12" s="194">
        <v>24</v>
      </c>
      <c r="P12" s="195" t="s">
        <v>297</v>
      </c>
      <c r="Q12" s="184" t="s">
        <v>257</v>
      </c>
      <c r="R12" s="182" t="s">
        <v>138</v>
      </c>
      <c r="S12" s="182" t="s">
        <v>139</v>
      </c>
      <c r="T12" s="322" t="s">
        <v>200</v>
      </c>
      <c r="U12" s="322"/>
      <c r="V12" s="182" t="s">
        <v>144</v>
      </c>
      <c r="W12" s="182" t="s">
        <v>145</v>
      </c>
      <c r="X12" s="182" t="s">
        <v>201</v>
      </c>
      <c r="Y12" s="182" t="s">
        <v>258</v>
      </c>
      <c r="Z12" s="185" t="s">
        <v>142</v>
      </c>
    </row>
    <row r="13" spans="1:26" s="96" customFormat="1" ht="15.5">
      <c r="A13" s="351" t="str">
        <f>"本公司谨授权贵行从本公司账户（"&amp;INDEX(基本信息!F:F,MATCH(H3,基本信息!D:D,0))&amp;"）支取办理本询证函服务的费用。"</f>
        <v>本公司谨授权贵行从本公司账户（）支取办理本询证函服务的费用。</v>
      </c>
      <c r="B13" s="351"/>
      <c r="C13" s="351"/>
      <c r="D13" s="351"/>
      <c r="E13" s="351"/>
      <c r="F13" s="351"/>
      <c r="G13" s="351"/>
      <c r="H13" s="351"/>
      <c r="I13" s="351"/>
      <c r="J13" s="351"/>
      <c r="N13" s="193" t="s">
        <v>265</v>
      </c>
      <c r="O13" s="194">
        <v>29</v>
      </c>
      <c r="P13" s="195" t="s">
        <v>297</v>
      </c>
      <c r="Q13" s="326" t="s">
        <v>137</v>
      </c>
      <c r="R13" s="327"/>
      <c r="S13" s="327"/>
      <c r="T13" s="327"/>
      <c r="U13" s="324" t="s">
        <v>138</v>
      </c>
      <c r="V13" s="324"/>
      <c r="W13" s="324"/>
      <c r="X13" s="141" t="s">
        <v>139</v>
      </c>
      <c r="Y13" s="324" t="s">
        <v>146</v>
      </c>
      <c r="Z13" s="325"/>
    </row>
    <row r="14" spans="1:26" s="96" customFormat="1" ht="15.5">
      <c r="A14" s="351"/>
      <c r="B14" s="351"/>
      <c r="C14" s="351"/>
      <c r="D14" s="351"/>
      <c r="E14" s="351"/>
      <c r="F14" s="351"/>
      <c r="G14" s="351"/>
      <c r="H14" s="351"/>
      <c r="I14" s="351"/>
      <c r="J14" s="351"/>
      <c r="N14" s="193" t="s">
        <v>269</v>
      </c>
      <c r="O14" s="194">
        <v>35</v>
      </c>
      <c r="P14" s="195" t="s">
        <v>297</v>
      </c>
      <c r="Q14" s="326" t="s">
        <v>137</v>
      </c>
      <c r="R14" s="327"/>
      <c r="S14" s="327" t="s">
        <v>138</v>
      </c>
      <c r="T14" s="327"/>
      <c r="U14" s="169" t="s">
        <v>204</v>
      </c>
      <c r="V14" s="169" t="s">
        <v>139</v>
      </c>
      <c r="W14" s="169" t="s">
        <v>140</v>
      </c>
      <c r="X14" s="169" t="s">
        <v>141</v>
      </c>
      <c r="Y14" s="169" t="s">
        <v>205</v>
      </c>
      <c r="Z14" s="186" t="s">
        <v>142</v>
      </c>
    </row>
    <row r="15" spans="1:26" s="96" customFormat="1" ht="15.5">
      <c r="A15" s="105" t="s">
        <v>194</v>
      </c>
      <c r="B15" s="98"/>
      <c r="C15" s="98"/>
      <c r="D15" s="109"/>
      <c r="E15" s="109"/>
      <c r="F15" s="109"/>
      <c r="G15" s="109"/>
      <c r="H15" s="98"/>
      <c r="I15" s="98"/>
      <c r="J15" s="98"/>
      <c r="N15" s="193" t="s">
        <v>270</v>
      </c>
      <c r="O15" s="194">
        <v>42</v>
      </c>
      <c r="P15" s="195" t="s">
        <v>297</v>
      </c>
      <c r="Q15" s="328" t="s">
        <v>137</v>
      </c>
      <c r="R15" s="322"/>
      <c r="S15" s="322" t="s">
        <v>138</v>
      </c>
      <c r="T15" s="322"/>
      <c r="U15" s="182" t="s">
        <v>207</v>
      </c>
      <c r="V15" s="182" t="s">
        <v>139</v>
      </c>
      <c r="W15" s="182" t="s">
        <v>140</v>
      </c>
      <c r="X15" s="182" t="s">
        <v>141</v>
      </c>
      <c r="Y15" s="169" t="s">
        <v>205</v>
      </c>
      <c r="Z15" s="185" t="s">
        <v>142</v>
      </c>
    </row>
    <row r="16" spans="1:26" s="96" customFormat="1" ht="16" thickBot="1">
      <c r="A16" s="110" t="s">
        <v>195</v>
      </c>
      <c r="B16" s="98"/>
      <c r="C16" s="98"/>
      <c r="D16" s="98"/>
      <c r="E16" s="98"/>
      <c r="F16" s="98"/>
      <c r="G16" s="98"/>
      <c r="H16" s="98"/>
      <c r="I16" s="98"/>
      <c r="J16" s="98"/>
      <c r="N16" s="193" t="s">
        <v>286</v>
      </c>
      <c r="O16" s="194">
        <v>50</v>
      </c>
      <c r="P16" s="195" t="s">
        <v>297</v>
      </c>
      <c r="Q16" s="184" t="s">
        <v>148</v>
      </c>
      <c r="R16" s="322" t="s">
        <v>149</v>
      </c>
      <c r="S16" s="322"/>
      <c r="T16" s="322" t="s">
        <v>209</v>
      </c>
      <c r="U16" s="322"/>
      <c r="V16" s="182" t="s">
        <v>210</v>
      </c>
      <c r="W16" s="322" t="s">
        <v>211</v>
      </c>
      <c r="X16" s="322"/>
      <c r="Y16" s="322" t="s">
        <v>142</v>
      </c>
      <c r="Z16" s="323"/>
    </row>
    <row r="17" spans="1:29" s="21" customFormat="1" ht="39">
      <c r="A17" s="116" t="s">
        <v>137</v>
      </c>
      <c r="B17" s="379" t="s">
        <v>138</v>
      </c>
      <c r="C17" s="378"/>
      <c r="D17" s="117" t="s">
        <v>139</v>
      </c>
      <c r="E17" s="117" t="s">
        <v>140</v>
      </c>
      <c r="F17" s="117" t="s">
        <v>196</v>
      </c>
      <c r="G17" s="117" t="s">
        <v>141</v>
      </c>
      <c r="H17" s="118" t="s">
        <v>197</v>
      </c>
      <c r="I17" s="119" t="s">
        <v>198</v>
      </c>
      <c r="J17" s="120" t="s">
        <v>142</v>
      </c>
      <c r="N17" s="193" t="s">
        <v>287</v>
      </c>
      <c r="O17" s="81">
        <v>57</v>
      </c>
      <c r="P17" s="195" t="s">
        <v>297</v>
      </c>
      <c r="Q17" s="148" t="s">
        <v>148</v>
      </c>
      <c r="R17" s="320" t="s">
        <v>149</v>
      </c>
      <c r="S17" s="320"/>
      <c r="T17" s="320" t="s">
        <v>213</v>
      </c>
      <c r="U17" s="320"/>
      <c r="V17" s="182" t="s">
        <v>210</v>
      </c>
      <c r="W17" s="320" t="s">
        <v>214</v>
      </c>
      <c r="X17" s="320"/>
      <c r="Y17" s="320" t="s">
        <v>142</v>
      </c>
      <c r="Z17" s="321"/>
    </row>
    <row r="18" spans="1:29" s="21" customFormat="1" ht="13">
      <c r="A18" s="461"/>
      <c r="B18" s="310"/>
      <c r="C18" s="462"/>
      <c r="D18" s="303"/>
      <c r="E18" s="303"/>
      <c r="F18" s="303"/>
      <c r="G18" s="303"/>
      <c r="H18" s="460"/>
      <c r="I18" s="460"/>
      <c r="J18" s="304"/>
      <c r="N18" s="21" t="s">
        <v>288</v>
      </c>
      <c r="O18" s="81">
        <v>63</v>
      </c>
      <c r="P18" s="195" t="s">
        <v>297</v>
      </c>
      <c r="Q18" s="184" t="s">
        <v>215</v>
      </c>
      <c r="R18" s="320" t="s">
        <v>216</v>
      </c>
      <c r="S18" s="320"/>
      <c r="T18" s="320" t="s">
        <v>152</v>
      </c>
      <c r="U18" s="320"/>
      <c r="V18" s="133" t="s">
        <v>153</v>
      </c>
      <c r="W18" s="320" t="s">
        <v>159</v>
      </c>
      <c r="X18" s="320"/>
      <c r="Y18" s="320" t="s">
        <v>154</v>
      </c>
      <c r="Z18" s="321"/>
    </row>
    <row r="19" spans="1:29" s="21" customFormat="1" ht="13.5" thickBot="1">
      <c r="A19" s="121"/>
      <c r="B19" s="370"/>
      <c r="C19" s="433"/>
      <c r="D19" s="122"/>
      <c r="E19" s="123"/>
      <c r="F19" s="124"/>
      <c r="G19" s="125"/>
      <c r="H19" s="126"/>
      <c r="I19" s="123"/>
      <c r="J19" s="127"/>
      <c r="N19" s="21" t="s">
        <v>289</v>
      </c>
      <c r="O19" s="81">
        <v>69</v>
      </c>
      <c r="P19" s="195" t="s">
        <v>297</v>
      </c>
      <c r="Q19" s="184" t="s">
        <v>156</v>
      </c>
      <c r="R19" s="182" t="s">
        <v>157</v>
      </c>
      <c r="S19" s="322" t="s">
        <v>158</v>
      </c>
      <c r="T19" s="322"/>
      <c r="U19" s="182" t="s">
        <v>153</v>
      </c>
      <c r="V19" s="182" t="s">
        <v>159</v>
      </c>
      <c r="W19" s="182" t="s">
        <v>154</v>
      </c>
      <c r="X19" s="182" t="s">
        <v>160</v>
      </c>
      <c r="Y19" s="182" t="s">
        <v>161</v>
      </c>
      <c r="Z19" s="185" t="s">
        <v>162</v>
      </c>
    </row>
    <row r="20" spans="1:29" s="21" customFormat="1" ht="13">
      <c r="A20" s="20" t="s">
        <v>199</v>
      </c>
      <c r="B20" s="128"/>
      <c r="C20" s="128"/>
      <c r="D20" s="129"/>
      <c r="E20" s="129"/>
      <c r="F20" s="129"/>
      <c r="G20" s="129"/>
      <c r="H20" s="129"/>
      <c r="I20" s="129"/>
      <c r="J20" s="129"/>
      <c r="N20" s="21" t="s">
        <v>290</v>
      </c>
      <c r="O20" s="81">
        <v>74</v>
      </c>
      <c r="P20" s="195" t="s">
        <v>297</v>
      </c>
      <c r="Q20" s="319" t="s">
        <v>156</v>
      </c>
      <c r="R20" s="320"/>
      <c r="S20" s="320" t="s">
        <v>158</v>
      </c>
      <c r="T20" s="320"/>
      <c r="U20" s="320" t="s">
        <v>153</v>
      </c>
      <c r="V20" s="320"/>
      <c r="W20" s="320" t="s">
        <v>159</v>
      </c>
      <c r="X20" s="320"/>
      <c r="Y20" s="320" t="s">
        <v>154</v>
      </c>
      <c r="Z20" s="321"/>
    </row>
    <row r="21" spans="1:29" s="21" customFormat="1" ht="13">
      <c r="A21" s="356" t="s">
        <v>261</v>
      </c>
      <c r="B21" s="356"/>
      <c r="C21" s="356"/>
      <c r="D21" s="356"/>
      <c r="E21" s="356"/>
      <c r="F21" s="356"/>
      <c r="G21" s="356"/>
      <c r="H21" s="356"/>
      <c r="I21" s="356"/>
      <c r="J21" s="356"/>
      <c r="N21" s="21" t="s">
        <v>291</v>
      </c>
      <c r="O21" s="81">
        <v>81</v>
      </c>
      <c r="P21" s="195" t="s">
        <v>297</v>
      </c>
      <c r="Q21" s="319" t="s">
        <v>163</v>
      </c>
      <c r="R21" s="320"/>
      <c r="S21" s="320" t="s">
        <v>164</v>
      </c>
      <c r="T21" s="320"/>
      <c r="U21" s="320" t="s">
        <v>165</v>
      </c>
      <c r="V21" s="320"/>
      <c r="W21" s="320" t="s">
        <v>154</v>
      </c>
      <c r="X21" s="320"/>
      <c r="Y21" s="320" t="s">
        <v>218</v>
      </c>
      <c r="Z21" s="321"/>
    </row>
    <row r="22" spans="1:29" s="21" customFormat="1" ht="13">
      <c r="A22" s="356"/>
      <c r="B22" s="356"/>
      <c r="C22" s="356"/>
      <c r="D22" s="356"/>
      <c r="E22" s="356"/>
      <c r="F22" s="356"/>
      <c r="G22" s="356"/>
      <c r="H22" s="356"/>
      <c r="I22" s="356"/>
      <c r="J22" s="356"/>
      <c r="N22" s="81" t="s">
        <v>292</v>
      </c>
      <c r="O22" s="81">
        <v>93</v>
      </c>
      <c r="P22" s="195" t="s">
        <v>297</v>
      </c>
      <c r="Q22" s="319" t="s">
        <v>174</v>
      </c>
      <c r="R22" s="320"/>
      <c r="S22" s="320"/>
      <c r="T22" s="320"/>
      <c r="U22" s="320" t="s">
        <v>175</v>
      </c>
      <c r="V22" s="320"/>
      <c r="W22" s="320" t="s">
        <v>176</v>
      </c>
      <c r="X22" s="320"/>
      <c r="Y22" s="320" t="s">
        <v>221</v>
      </c>
      <c r="Z22" s="321"/>
      <c r="AA22" s="81"/>
      <c r="AB22" s="81"/>
      <c r="AC22" s="81"/>
    </row>
    <row r="23" spans="1:29" s="81" customFormat="1" ht="13.5" thickBot="1">
      <c r="A23" s="130" t="s">
        <v>143</v>
      </c>
      <c r="B23" s="21"/>
      <c r="C23" s="21"/>
      <c r="D23" s="21"/>
      <c r="E23" s="21"/>
      <c r="F23" s="21"/>
      <c r="G23" s="21"/>
      <c r="H23" s="21"/>
      <c r="I23" s="21"/>
      <c r="J23" s="21"/>
      <c r="N23" s="21" t="s">
        <v>293</v>
      </c>
      <c r="O23" s="81">
        <v>99</v>
      </c>
      <c r="P23" s="195" t="s">
        <v>297</v>
      </c>
      <c r="Q23" s="319" t="s">
        <v>223</v>
      </c>
      <c r="R23" s="320"/>
      <c r="S23" s="320" t="s">
        <v>224</v>
      </c>
      <c r="T23" s="320"/>
      <c r="U23" s="133" t="s">
        <v>177</v>
      </c>
      <c r="V23" s="320" t="s">
        <v>178</v>
      </c>
      <c r="W23" s="320"/>
      <c r="X23" s="320" t="s">
        <v>154</v>
      </c>
      <c r="Y23" s="320"/>
      <c r="Z23" s="134" t="s">
        <v>139</v>
      </c>
      <c r="AA23" s="21"/>
      <c r="AB23" s="21"/>
      <c r="AC23" s="21"/>
    </row>
    <row r="24" spans="1:29" s="21" customFormat="1" ht="26">
      <c r="A24" s="131" t="s">
        <v>257</v>
      </c>
      <c r="B24" s="117" t="s">
        <v>138</v>
      </c>
      <c r="C24" s="117" t="s">
        <v>139</v>
      </c>
      <c r="D24" s="373" t="s">
        <v>200</v>
      </c>
      <c r="E24" s="373"/>
      <c r="F24" s="117" t="s">
        <v>144</v>
      </c>
      <c r="G24" s="117" t="s">
        <v>145</v>
      </c>
      <c r="H24" s="117" t="s">
        <v>201</v>
      </c>
      <c r="I24" s="117" t="s">
        <v>258</v>
      </c>
      <c r="J24" s="132" t="s">
        <v>142</v>
      </c>
      <c r="N24" s="21" t="s">
        <v>294</v>
      </c>
      <c r="O24" s="81">
        <v>104</v>
      </c>
      <c r="P24" s="195" t="s">
        <v>297</v>
      </c>
      <c r="Q24" s="315" t="s">
        <v>259</v>
      </c>
      <c r="R24" s="316"/>
      <c r="S24" s="316"/>
      <c r="T24" s="316"/>
      <c r="U24" s="316"/>
      <c r="V24" s="316"/>
      <c r="W24" s="316"/>
      <c r="X24" s="316"/>
      <c r="Y24" s="316"/>
      <c r="Z24" s="317"/>
    </row>
    <row r="25" spans="1:29" s="21" customFormat="1" ht="13.5" thickBot="1">
      <c r="A25" s="135"/>
      <c r="B25" s="123"/>
      <c r="C25" s="123"/>
      <c r="D25" s="403"/>
      <c r="E25" s="403"/>
      <c r="F25" s="136"/>
      <c r="G25" s="136"/>
      <c r="H25" s="123"/>
      <c r="I25" s="123"/>
      <c r="J25" s="137"/>
      <c r="Q25" s="187"/>
      <c r="R25" s="188"/>
      <c r="S25" s="188"/>
      <c r="T25" s="188"/>
      <c r="U25" s="188"/>
      <c r="V25" s="188"/>
      <c r="W25" s="188"/>
      <c r="X25" s="188"/>
      <c r="Y25" s="188"/>
      <c r="Z25" s="189"/>
    </row>
    <row r="26" spans="1:29" s="21" customFormat="1" ht="13">
      <c r="A26" s="20" t="s">
        <v>202</v>
      </c>
      <c r="B26" s="129"/>
      <c r="C26" s="129"/>
      <c r="D26" s="129"/>
      <c r="E26" s="129"/>
      <c r="F26" s="129"/>
      <c r="G26" s="129"/>
      <c r="H26" s="129"/>
      <c r="I26" s="129"/>
      <c r="J26" s="129"/>
    </row>
    <row r="27" spans="1:29" s="21" customFormat="1" ht="13">
      <c r="A27" s="20" t="s">
        <v>234</v>
      </c>
      <c r="B27" s="138"/>
      <c r="C27" s="138"/>
      <c r="D27" s="138"/>
      <c r="E27" s="138"/>
      <c r="F27" s="138"/>
      <c r="G27" s="138"/>
      <c r="H27" s="138"/>
      <c r="I27" s="138"/>
      <c r="J27" s="138"/>
      <c r="N27" s="166"/>
      <c r="O27" s="166"/>
      <c r="P27" s="166"/>
      <c r="Q27" s="166"/>
      <c r="R27" s="166"/>
      <c r="S27" s="166"/>
      <c r="T27" s="166"/>
      <c r="U27" s="166"/>
      <c r="V27" s="166"/>
      <c r="W27" s="166"/>
      <c r="X27" s="166"/>
      <c r="Y27" s="166"/>
      <c r="Z27" s="166"/>
      <c r="AA27" s="166"/>
      <c r="AB27" s="166"/>
      <c r="AC27" s="166"/>
    </row>
    <row r="28" spans="1:29" s="166" customFormat="1" ht="13.5" thickBot="1">
      <c r="A28" s="139" t="s">
        <v>235</v>
      </c>
      <c r="B28" s="21"/>
      <c r="C28" s="21"/>
      <c r="D28" s="21"/>
      <c r="E28" s="21"/>
      <c r="F28" s="21"/>
      <c r="G28" s="21"/>
      <c r="H28" s="21"/>
      <c r="I28" s="21"/>
      <c r="J28" s="21"/>
    </row>
    <row r="29" spans="1:29" s="166" customFormat="1" ht="13">
      <c r="A29" s="404" t="s">
        <v>137</v>
      </c>
      <c r="B29" s="405"/>
      <c r="C29" s="405"/>
      <c r="D29" s="405"/>
      <c r="E29" s="406" t="s">
        <v>138</v>
      </c>
      <c r="F29" s="406"/>
      <c r="G29" s="406"/>
      <c r="H29" s="140" t="s">
        <v>139</v>
      </c>
      <c r="I29" s="406" t="s">
        <v>146</v>
      </c>
      <c r="J29" s="407"/>
    </row>
    <row r="30" spans="1:29" s="166" customFormat="1" ht="13">
      <c r="A30" s="408"/>
      <c r="B30" s="409"/>
      <c r="C30" s="409"/>
      <c r="D30" s="410"/>
      <c r="E30" s="411"/>
      <c r="F30" s="412"/>
      <c r="G30" s="413"/>
      <c r="H30" s="302"/>
      <c r="I30" s="411"/>
      <c r="J30" s="414"/>
      <c r="N30" s="21"/>
      <c r="O30" s="21"/>
      <c r="P30" s="21"/>
      <c r="Q30" s="21"/>
      <c r="R30" s="21"/>
      <c r="S30" s="21"/>
      <c r="T30" s="21"/>
      <c r="U30" s="21"/>
      <c r="V30" s="21"/>
      <c r="W30" s="21"/>
      <c r="X30" s="21"/>
      <c r="Y30" s="21"/>
      <c r="Z30" s="21"/>
      <c r="AA30" s="21"/>
      <c r="AB30" s="21"/>
      <c r="AC30" s="21"/>
    </row>
    <row r="31" spans="1:29" s="21" customFormat="1" ht="13.5" thickBot="1">
      <c r="A31" s="415"/>
      <c r="B31" s="416"/>
      <c r="C31" s="416"/>
      <c r="D31" s="416"/>
      <c r="E31" s="423"/>
      <c r="F31" s="423"/>
      <c r="G31" s="423"/>
      <c r="H31" s="142"/>
      <c r="I31" s="423"/>
      <c r="J31" s="424"/>
    </row>
    <row r="32" spans="1:29" s="21" customFormat="1" ht="13">
      <c r="A32" s="21" t="s">
        <v>203</v>
      </c>
    </row>
    <row r="33" spans="1:29" s="21" customFormat="1" ht="13"/>
    <row r="34" spans="1:29" s="21" customFormat="1" ht="13.5" thickBot="1">
      <c r="A34" s="130" t="s">
        <v>236</v>
      </c>
    </row>
    <row r="35" spans="1:29" s="21" customFormat="1" ht="26">
      <c r="A35" s="425" t="s">
        <v>137</v>
      </c>
      <c r="B35" s="426"/>
      <c r="C35" s="427" t="s">
        <v>138</v>
      </c>
      <c r="D35" s="428"/>
      <c r="E35" s="140" t="s">
        <v>204</v>
      </c>
      <c r="F35" s="140" t="s">
        <v>139</v>
      </c>
      <c r="G35" s="140" t="s">
        <v>140</v>
      </c>
      <c r="H35" s="140" t="s">
        <v>141</v>
      </c>
      <c r="I35" s="140" t="s">
        <v>205</v>
      </c>
      <c r="J35" s="140" t="s">
        <v>142</v>
      </c>
    </row>
    <row r="36" spans="1:29" s="21" customFormat="1" ht="13">
      <c r="A36" s="408"/>
      <c r="B36" s="410"/>
      <c r="C36" s="411"/>
      <c r="D36" s="413"/>
      <c r="E36" s="302"/>
      <c r="F36" s="302"/>
      <c r="G36" s="302"/>
      <c r="H36" s="302"/>
      <c r="I36" s="302"/>
      <c r="J36" s="143"/>
    </row>
    <row r="37" spans="1:29" s="21" customFormat="1" ht="13.5" thickBot="1">
      <c r="A37" s="429"/>
      <c r="B37" s="430"/>
      <c r="C37" s="419"/>
      <c r="D37" s="420"/>
      <c r="E37" s="142"/>
      <c r="F37" s="142"/>
      <c r="G37" s="142"/>
      <c r="H37" s="142"/>
      <c r="I37" s="142"/>
      <c r="J37" s="144"/>
    </row>
    <row r="38" spans="1:29" s="21" customFormat="1" ht="13">
      <c r="A38" s="21" t="s">
        <v>206</v>
      </c>
    </row>
    <row r="39" spans="1:29" s="21" customFormat="1" ht="13">
      <c r="A39" s="21" t="s">
        <v>237</v>
      </c>
    </row>
    <row r="40" spans="1:29" s="21" customFormat="1" ht="13"/>
    <row r="41" spans="1:29" s="21" customFormat="1" ht="13.5" thickBot="1">
      <c r="A41" s="130" t="s">
        <v>238</v>
      </c>
    </row>
    <row r="42" spans="1:29" s="21" customFormat="1" ht="26">
      <c r="A42" s="377" t="s">
        <v>137</v>
      </c>
      <c r="B42" s="378"/>
      <c r="C42" s="379" t="s">
        <v>138</v>
      </c>
      <c r="D42" s="378"/>
      <c r="E42" s="117" t="s">
        <v>207</v>
      </c>
      <c r="F42" s="117" t="s">
        <v>139</v>
      </c>
      <c r="G42" s="117" t="s">
        <v>140</v>
      </c>
      <c r="H42" s="117" t="s">
        <v>141</v>
      </c>
      <c r="I42" s="140" t="s">
        <v>205</v>
      </c>
      <c r="J42" s="132" t="s">
        <v>142</v>
      </c>
    </row>
    <row r="43" spans="1:29" s="21" customFormat="1" ht="13">
      <c r="A43" s="399"/>
      <c r="B43" s="400"/>
      <c r="C43" s="421"/>
      <c r="D43" s="422"/>
      <c r="E43" s="303"/>
      <c r="F43" s="303"/>
      <c r="G43" s="303"/>
      <c r="H43" s="145"/>
      <c r="I43" s="309"/>
      <c r="J43" s="146"/>
    </row>
    <row r="44" spans="1:29" s="21" customFormat="1" ht="13.5" thickBot="1">
      <c r="A44" s="401"/>
      <c r="B44" s="402"/>
      <c r="C44" s="417"/>
      <c r="D44" s="418"/>
      <c r="E44" s="122"/>
      <c r="F44" s="122"/>
      <c r="G44" s="122"/>
      <c r="H44" s="124"/>
      <c r="I44" s="125"/>
      <c r="J44" s="147"/>
    </row>
    <row r="45" spans="1:29" s="21" customFormat="1" ht="13">
      <c r="A45" s="21" t="s">
        <v>208</v>
      </c>
    </row>
    <row r="46" spans="1:29" s="21" customFormat="1" ht="13">
      <c r="A46" s="21" t="s">
        <v>234</v>
      </c>
    </row>
    <row r="47" spans="1:29" s="21" customFormat="1" ht="13"/>
    <row r="48" spans="1:29" s="21" customFormat="1" ht="13">
      <c r="A48" s="130" t="s">
        <v>239</v>
      </c>
      <c r="N48" s="81"/>
      <c r="O48" s="81"/>
      <c r="P48" s="81"/>
      <c r="Q48" s="81"/>
      <c r="R48" s="81"/>
      <c r="S48" s="81"/>
      <c r="T48" s="81"/>
      <c r="U48" s="81"/>
      <c r="V48" s="81"/>
      <c r="W48" s="81"/>
      <c r="X48" s="81"/>
      <c r="Y48" s="81"/>
      <c r="Z48" s="81"/>
      <c r="AA48" s="81"/>
      <c r="AB48" s="81"/>
      <c r="AC48" s="81"/>
    </row>
    <row r="49" spans="1:29" s="81" customFormat="1" ht="13.5" thickBot="1">
      <c r="A49" s="21" t="s">
        <v>147</v>
      </c>
      <c r="B49" s="21"/>
      <c r="C49" s="21"/>
      <c r="D49" s="21"/>
      <c r="E49" s="21"/>
      <c r="F49" s="21"/>
      <c r="G49" s="21"/>
      <c r="H49" s="21"/>
      <c r="I49" s="21"/>
      <c r="J49" s="21"/>
      <c r="N49" s="21"/>
      <c r="O49" s="21"/>
      <c r="P49" s="21"/>
      <c r="Q49" s="21"/>
      <c r="R49" s="21"/>
      <c r="S49" s="21"/>
      <c r="T49" s="21"/>
      <c r="U49" s="21"/>
      <c r="V49" s="21"/>
      <c r="W49" s="21"/>
      <c r="X49" s="21"/>
      <c r="Y49" s="21"/>
      <c r="Z49" s="21"/>
      <c r="AA49" s="21"/>
      <c r="AB49" s="21"/>
      <c r="AC49" s="21"/>
    </row>
    <row r="50" spans="1:29" s="21" customFormat="1" ht="26">
      <c r="A50" s="131" t="s">
        <v>148</v>
      </c>
      <c r="B50" s="373" t="s">
        <v>149</v>
      </c>
      <c r="C50" s="373"/>
      <c r="D50" s="373" t="s">
        <v>209</v>
      </c>
      <c r="E50" s="373"/>
      <c r="F50" s="117" t="s">
        <v>210</v>
      </c>
      <c r="G50" s="373" t="s">
        <v>211</v>
      </c>
      <c r="H50" s="373"/>
      <c r="I50" s="373" t="s">
        <v>142</v>
      </c>
      <c r="J50" s="374"/>
    </row>
    <row r="51" spans="1:29" s="21" customFormat="1" ht="13">
      <c r="A51" s="305"/>
      <c r="B51" s="320"/>
      <c r="C51" s="320"/>
      <c r="D51" s="320"/>
      <c r="E51" s="320"/>
      <c r="F51" s="303"/>
      <c r="G51" s="320"/>
      <c r="H51" s="320"/>
      <c r="I51" s="320"/>
      <c r="J51" s="321"/>
    </row>
    <row r="52" spans="1:29" s="21" customFormat="1" ht="13.5" thickBot="1">
      <c r="A52" s="149"/>
      <c r="B52" s="360"/>
      <c r="C52" s="360"/>
      <c r="D52" s="360"/>
      <c r="E52" s="360"/>
      <c r="F52" s="122"/>
      <c r="G52" s="360"/>
      <c r="H52" s="360"/>
      <c r="I52" s="360"/>
      <c r="J52" s="396"/>
    </row>
    <row r="53" spans="1:29" s="21" customFormat="1" ht="13">
      <c r="A53" s="20" t="s">
        <v>212</v>
      </c>
      <c r="B53" s="129"/>
      <c r="C53" s="129"/>
      <c r="D53" s="129"/>
      <c r="E53" s="129"/>
      <c r="F53" s="129"/>
      <c r="G53" s="129"/>
      <c r="H53" s="129"/>
      <c r="I53" s="129"/>
      <c r="J53" s="129"/>
    </row>
    <row r="54" spans="1:29" s="21" customFormat="1" ht="13">
      <c r="A54" s="356" t="s">
        <v>240</v>
      </c>
      <c r="B54" s="356"/>
      <c r="C54" s="356"/>
      <c r="D54" s="356"/>
      <c r="E54" s="356"/>
      <c r="F54" s="356"/>
      <c r="G54" s="356"/>
      <c r="H54" s="356"/>
      <c r="I54" s="356"/>
      <c r="J54" s="356"/>
    </row>
    <row r="55" spans="1:29" s="21" customFormat="1" ht="13">
      <c r="A55" s="356"/>
      <c r="B55" s="356"/>
      <c r="C55" s="356"/>
      <c r="D55" s="356"/>
      <c r="E55" s="356"/>
      <c r="F55" s="356"/>
      <c r="G55" s="356"/>
      <c r="H55" s="356"/>
      <c r="I55" s="356"/>
      <c r="J55" s="356"/>
      <c r="N55" s="81"/>
      <c r="O55" s="81"/>
      <c r="P55" s="81"/>
      <c r="Q55" s="81"/>
      <c r="R55" s="81"/>
      <c r="S55" s="81"/>
      <c r="T55" s="81"/>
      <c r="U55" s="81"/>
      <c r="V55" s="81"/>
      <c r="W55" s="81"/>
      <c r="X55" s="81"/>
      <c r="Y55" s="81"/>
      <c r="Z55" s="81"/>
      <c r="AA55" s="81"/>
      <c r="AB55" s="81"/>
      <c r="AC55" s="81"/>
    </row>
    <row r="56" spans="1:29" s="81" customFormat="1" ht="13.5" thickBot="1">
      <c r="A56" s="21" t="s">
        <v>150</v>
      </c>
      <c r="B56" s="21"/>
      <c r="C56" s="21"/>
      <c r="D56" s="21"/>
      <c r="E56" s="21"/>
      <c r="F56" s="21"/>
      <c r="G56" s="21"/>
      <c r="H56" s="21"/>
      <c r="I56" s="21"/>
      <c r="J56" s="21"/>
      <c r="N56" s="21"/>
      <c r="O56" s="21"/>
      <c r="P56" s="21"/>
      <c r="Q56" s="21"/>
      <c r="R56" s="21"/>
      <c r="S56" s="21"/>
      <c r="T56" s="21"/>
      <c r="U56" s="21"/>
      <c r="V56" s="21"/>
      <c r="W56" s="21"/>
      <c r="X56" s="21"/>
      <c r="Y56" s="21"/>
      <c r="Z56" s="21"/>
      <c r="AA56" s="21"/>
      <c r="AB56" s="21"/>
      <c r="AC56" s="21"/>
    </row>
    <row r="57" spans="1:29" s="21" customFormat="1" ht="26">
      <c r="A57" s="131" t="s">
        <v>148</v>
      </c>
      <c r="B57" s="373" t="s">
        <v>149</v>
      </c>
      <c r="C57" s="373"/>
      <c r="D57" s="373" t="s">
        <v>213</v>
      </c>
      <c r="E57" s="373"/>
      <c r="F57" s="117" t="s">
        <v>210</v>
      </c>
      <c r="G57" s="373" t="s">
        <v>214</v>
      </c>
      <c r="H57" s="373"/>
      <c r="I57" s="373" t="s">
        <v>142</v>
      </c>
      <c r="J57" s="374"/>
    </row>
    <row r="58" spans="1:29" s="21" customFormat="1" ht="13">
      <c r="A58" s="305"/>
      <c r="B58" s="320"/>
      <c r="C58" s="320"/>
      <c r="D58" s="320"/>
      <c r="E58" s="320"/>
      <c r="F58" s="303"/>
      <c r="G58" s="320"/>
      <c r="H58" s="320"/>
      <c r="I58" s="320"/>
      <c r="J58" s="321"/>
    </row>
    <row r="59" spans="1:29" s="21" customFormat="1" ht="13.5" thickBot="1">
      <c r="A59" s="149"/>
      <c r="B59" s="360"/>
      <c r="C59" s="360"/>
      <c r="D59" s="360"/>
      <c r="E59" s="360"/>
      <c r="F59" s="122"/>
      <c r="G59" s="360"/>
      <c r="H59" s="360"/>
      <c r="I59" s="360"/>
      <c r="J59" s="396"/>
    </row>
    <row r="60" spans="1:29" s="21" customFormat="1" ht="13">
      <c r="A60" s="21" t="s">
        <v>151</v>
      </c>
    </row>
    <row r="61" spans="1:29" s="21" customFormat="1" ht="13">
      <c r="A61" s="138"/>
      <c r="B61" s="138"/>
      <c r="C61" s="138"/>
      <c r="D61" s="138"/>
      <c r="E61" s="138"/>
      <c r="F61" s="138"/>
      <c r="G61" s="138"/>
      <c r="H61" s="138"/>
      <c r="I61" s="138"/>
      <c r="J61" s="138"/>
    </row>
    <row r="62" spans="1:29" s="21" customFormat="1" ht="13.5" thickBot="1">
      <c r="A62" s="130" t="s">
        <v>241</v>
      </c>
    </row>
    <row r="63" spans="1:29" s="21" customFormat="1" ht="13">
      <c r="A63" s="131" t="s">
        <v>215</v>
      </c>
      <c r="B63" s="373" t="s">
        <v>216</v>
      </c>
      <c r="C63" s="373"/>
      <c r="D63" s="373" t="s">
        <v>152</v>
      </c>
      <c r="E63" s="373"/>
      <c r="F63" s="117" t="s">
        <v>153</v>
      </c>
      <c r="G63" s="373" t="s">
        <v>159</v>
      </c>
      <c r="H63" s="373"/>
      <c r="I63" s="373" t="s">
        <v>154</v>
      </c>
      <c r="J63" s="374"/>
    </row>
    <row r="64" spans="1:29" s="21" customFormat="1" ht="13">
      <c r="A64" s="305"/>
      <c r="B64" s="320"/>
      <c r="C64" s="320"/>
      <c r="D64" s="320"/>
      <c r="E64" s="320"/>
      <c r="F64" s="303"/>
      <c r="G64" s="320"/>
      <c r="H64" s="320"/>
      <c r="I64" s="320"/>
      <c r="J64" s="321"/>
    </row>
    <row r="65" spans="1:10" s="21" customFormat="1" ht="13.5" thickBot="1">
      <c r="A65" s="149"/>
      <c r="B65" s="360"/>
      <c r="C65" s="360"/>
      <c r="D65" s="360"/>
      <c r="E65" s="360"/>
      <c r="F65" s="122"/>
      <c r="G65" s="360"/>
      <c r="H65" s="360"/>
      <c r="I65" s="360"/>
      <c r="J65" s="396"/>
    </row>
    <row r="66" spans="1:10" s="21" customFormat="1" ht="13">
      <c r="A66" s="21" t="s">
        <v>155</v>
      </c>
    </row>
    <row r="67" spans="1:10" s="21" customFormat="1" ht="13"/>
    <row r="68" spans="1:10" s="21" customFormat="1" ht="13.5" thickBot="1">
      <c r="A68" s="130" t="s">
        <v>242</v>
      </c>
    </row>
    <row r="69" spans="1:10" s="21" customFormat="1" ht="26">
      <c r="A69" s="131" t="s">
        <v>156</v>
      </c>
      <c r="B69" s="117" t="s">
        <v>157</v>
      </c>
      <c r="C69" s="373" t="s">
        <v>158</v>
      </c>
      <c r="D69" s="373"/>
      <c r="E69" s="117" t="s">
        <v>153</v>
      </c>
      <c r="F69" s="117" t="s">
        <v>159</v>
      </c>
      <c r="G69" s="117" t="s">
        <v>154</v>
      </c>
      <c r="H69" s="117" t="s">
        <v>160</v>
      </c>
      <c r="I69" s="117" t="s">
        <v>161</v>
      </c>
      <c r="J69" s="132" t="s">
        <v>162</v>
      </c>
    </row>
    <row r="70" spans="1:10" s="21" customFormat="1" ht="13">
      <c r="A70" s="305"/>
      <c r="B70" s="303"/>
      <c r="C70" s="320"/>
      <c r="D70" s="320"/>
      <c r="E70" s="303"/>
      <c r="F70" s="309"/>
      <c r="G70" s="145"/>
      <c r="H70" s="306"/>
      <c r="I70" s="306"/>
      <c r="J70" s="146"/>
    </row>
    <row r="71" spans="1:10" s="21" customFormat="1" ht="13.5" thickBot="1">
      <c r="A71" s="149"/>
      <c r="B71" s="122"/>
      <c r="C71" s="360"/>
      <c r="D71" s="360"/>
      <c r="E71" s="122"/>
      <c r="F71" s="125"/>
      <c r="G71" s="124"/>
      <c r="H71" s="126"/>
      <c r="I71" s="126"/>
      <c r="J71" s="147"/>
    </row>
    <row r="72" spans="1:10" s="21" customFormat="1" ht="13">
      <c r="A72" s="21" t="s">
        <v>217</v>
      </c>
    </row>
    <row r="73" spans="1:10" s="21" customFormat="1" ht="13"/>
    <row r="74" spans="1:10" s="21" customFormat="1" ht="13.5" thickBot="1">
      <c r="A74" s="130" t="s">
        <v>243</v>
      </c>
    </row>
    <row r="75" spans="1:10" s="21" customFormat="1" ht="13">
      <c r="A75" s="377" t="s">
        <v>156</v>
      </c>
      <c r="B75" s="378"/>
      <c r="C75" s="397" t="s">
        <v>158</v>
      </c>
      <c r="D75" s="398"/>
      <c r="E75" s="379" t="s">
        <v>153</v>
      </c>
      <c r="F75" s="378"/>
      <c r="G75" s="379" t="s">
        <v>159</v>
      </c>
      <c r="H75" s="378"/>
      <c r="I75" s="379" t="s">
        <v>154</v>
      </c>
      <c r="J75" s="380"/>
    </row>
    <row r="76" spans="1:10" s="21" customFormat="1" ht="13">
      <c r="A76" s="381"/>
      <c r="B76" s="382"/>
      <c r="C76" s="388"/>
      <c r="D76" s="382"/>
      <c r="E76" s="388"/>
      <c r="F76" s="382"/>
      <c r="G76" s="389"/>
      <c r="H76" s="390"/>
      <c r="I76" s="384"/>
      <c r="J76" s="385"/>
    </row>
    <row r="77" spans="1:10" s="21" customFormat="1" ht="13.5" thickBot="1">
      <c r="A77" s="367"/>
      <c r="B77" s="368"/>
      <c r="C77" s="391"/>
      <c r="D77" s="392"/>
      <c r="E77" s="393"/>
      <c r="F77" s="368"/>
      <c r="G77" s="394"/>
      <c r="H77" s="395"/>
      <c r="I77" s="370"/>
      <c r="J77" s="371"/>
    </row>
    <row r="78" spans="1:10" s="21" customFormat="1" ht="13">
      <c r="A78" s="21" t="s">
        <v>217</v>
      </c>
    </row>
    <row r="79" spans="1:10" s="21" customFormat="1" ht="13"/>
    <row r="80" spans="1:10" s="21" customFormat="1" ht="13.5" thickBot="1">
      <c r="A80" s="130" t="s">
        <v>244</v>
      </c>
    </row>
    <row r="81" spans="1:10" s="21" customFormat="1" ht="13">
      <c r="A81" s="372" t="s">
        <v>163</v>
      </c>
      <c r="B81" s="373"/>
      <c r="C81" s="373" t="s">
        <v>164</v>
      </c>
      <c r="D81" s="373"/>
      <c r="E81" s="373" t="s">
        <v>165</v>
      </c>
      <c r="F81" s="373"/>
      <c r="G81" s="373" t="s">
        <v>154</v>
      </c>
      <c r="H81" s="373"/>
      <c r="I81" s="373" t="s">
        <v>218</v>
      </c>
      <c r="J81" s="374"/>
    </row>
    <row r="82" spans="1:10" s="21" customFormat="1" ht="13">
      <c r="A82" s="434"/>
      <c r="B82" s="357"/>
      <c r="C82" s="320"/>
      <c r="D82" s="320"/>
      <c r="E82" s="386"/>
      <c r="F82" s="386"/>
      <c r="G82" s="322"/>
      <c r="H82" s="322"/>
      <c r="I82" s="358"/>
      <c r="J82" s="387"/>
    </row>
    <row r="83" spans="1:10" s="21" customFormat="1" ht="13.5" thickBot="1">
      <c r="A83" s="435"/>
      <c r="B83" s="361"/>
      <c r="C83" s="360"/>
      <c r="D83" s="360"/>
      <c r="E83" s="403"/>
      <c r="F83" s="403"/>
      <c r="G83" s="375"/>
      <c r="H83" s="375"/>
      <c r="I83" s="362"/>
      <c r="J83" s="376"/>
    </row>
    <row r="84" spans="1:10" s="21" customFormat="1" ht="13">
      <c r="A84" s="21" t="s">
        <v>219</v>
      </c>
    </row>
    <row r="85" spans="1:10" s="21" customFormat="1" ht="13"/>
    <row r="86" spans="1:10" s="21" customFormat="1" ht="13.5" thickBot="1">
      <c r="A86" s="130" t="s">
        <v>245</v>
      </c>
    </row>
    <row r="87" spans="1:10" s="21" customFormat="1" ht="13">
      <c r="A87" s="377" t="s">
        <v>166</v>
      </c>
      <c r="B87" s="378"/>
      <c r="C87" s="373" t="s">
        <v>167</v>
      </c>
      <c r="D87" s="373"/>
      <c r="E87" s="117" t="s">
        <v>168</v>
      </c>
      <c r="F87" s="373" t="s">
        <v>169</v>
      </c>
      <c r="G87" s="373"/>
      <c r="H87" s="117" t="s">
        <v>170</v>
      </c>
      <c r="I87" s="379" t="s">
        <v>220</v>
      </c>
      <c r="J87" s="380"/>
    </row>
    <row r="88" spans="1:10" s="21" customFormat="1" ht="13">
      <c r="A88" s="381" t="s">
        <v>171</v>
      </c>
      <c r="B88" s="382"/>
      <c r="C88" s="357"/>
      <c r="D88" s="357"/>
      <c r="E88" s="303"/>
      <c r="F88" s="363"/>
      <c r="G88" s="383"/>
      <c r="H88" s="150"/>
      <c r="I88" s="384"/>
      <c r="J88" s="385"/>
    </row>
    <row r="89" spans="1:10" s="21" customFormat="1" ht="13.5" thickBot="1">
      <c r="A89" s="367" t="s">
        <v>172</v>
      </c>
      <c r="B89" s="368"/>
      <c r="C89" s="361"/>
      <c r="D89" s="361"/>
      <c r="E89" s="307"/>
      <c r="F89" s="365"/>
      <c r="G89" s="369"/>
      <c r="H89" s="151"/>
      <c r="I89" s="370"/>
      <c r="J89" s="371"/>
    </row>
    <row r="90" spans="1:10" s="21" customFormat="1" ht="13">
      <c r="A90" s="21" t="s">
        <v>173</v>
      </c>
    </row>
    <row r="91" spans="1:10" s="21" customFormat="1" ht="13"/>
    <row r="92" spans="1:10" s="21" customFormat="1" ht="13.5" thickBot="1">
      <c r="A92" s="130" t="s">
        <v>246</v>
      </c>
    </row>
    <row r="93" spans="1:10" s="21" customFormat="1" ht="13">
      <c r="A93" s="372" t="s">
        <v>174</v>
      </c>
      <c r="B93" s="373"/>
      <c r="C93" s="373"/>
      <c r="D93" s="373"/>
      <c r="E93" s="373" t="s">
        <v>175</v>
      </c>
      <c r="F93" s="373"/>
      <c r="G93" s="373" t="s">
        <v>176</v>
      </c>
      <c r="H93" s="373"/>
      <c r="I93" s="373" t="s">
        <v>221</v>
      </c>
      <c r="J93" s="374"/>
    </row>
    <row r="94" spans="1:10" s="21" customFormat="1" ht="13">
      <c r="A94" s="319"/>
      <c r="B94" s="320"/>
      <c r="C94" s="320"/>
      <c r="D94" s="320"/>
      <c r="E94" s="357"/>
      <c r="F94" s="357"/>
      <c r="G94" s="320"/>
      <c r="H94" s="320"/>
      <c r="I94" s="363"/>
      <c r="J94" s="364"/>
    </row>
    <row r="95" spans="1:10" s="21" customFormat="1" ht="13.5" thickBot="1">
      <c r="A95" s="359"/>
      <c r="B95" s="360"/>
      <c r="C95" s="360"/>
      <c r="D95" s="360"/>
      <c r="E95" s="361"/>
      <c r="F95" s="361"/>
      <c r="G95" s="360"/>
      <c r="H95" s="360"/>
      <c r="I95" s="365"/>
      <c r="J95" s="366"/>
    </row>
    <row r="96" spans="1:10" s="21" customFormat="1" ht="13">
      <c r="A96" s="21" t="s">
        <v>222</v>
      </c>
    </row>
    <row r="97" spans="1:10" s="21" customFormat="1" ht="13"/>
    <row r="98" spans="1:10" s="21" customFormat="1" ht="13.5" thickBot="1">
      <c r="A98" s="130" t="s">
        <v>247</v>
      </c>
    </row>
    <row r="99" spans="1:10" s="21" customFormat="1" ht="13">
      <c r="A99" s="372" t="s">
        <v>223</v>
      </c>
      <c r="B99" s="373"/>
      <c r="C99" s="373" t="s">
        <v>224</v>
      </c>
      <c r="D99" s="373"/>
      <c r="E99" s="117" t="s">
        <v>177</v>
      </c>
      <c r="F99" s="373" t="s">
        <v>178</v>
      </c>
      <c r="G99" s="373"/>
      <c r="H99" s="373" t="s">
        <v>154</v>
      </c>
      <c r="I99" s="373"/>
      <c r="J99" s="132" t="s">
        <v>139</v>
      </c>
    </row>
    <row r="100" spans="1:10" s="21" customFormat="1" ht="13">
      <c r="A100" s="319"/>
      <c r="B100" s="320"/>
      <c r="C100" s="357"/>
      <c r="D100" s="357"/>
      <c r="E100" s="303"/>
      <c r="F100" s="358"/>
      <c r="G100" s="358"/>
      <c r="H100" s="320"/>
      <c r="I100" s="320"/>
      <c r="J100" s="304"/>
    </row>
    <row r="101" spans="1:10" s="21" customFormat="1" ht="13.5" thickBot="1">
      <c r="A101" s="359"/>
      <c r="B101" s="360"/>
      <c r="C101" s="361"/>
      <c r="D101" s="361"/>
      <c r="E101" s="307"/>
      <c r="F101" s="362"/>
      <c r="G101" s="362"/>
      <c r="H101" s="360"/>
      <c r="I101" s="360"/>
      <c r="J101" s="308"/>
    </row>
    <row r="102" spans="1:10" s="21" customFormat="1" ht="13">
      <c r="A102" s="20" t="s">
        <v>225</v>
      </c>
      <c r="B102" s="152"/>
      <c r="C102" s="153"/>
      <c r="D102" s="153"/>
      <c r="E102" s="152"/>
      <c r="F102" s="154"/>
      <c r="G102" s="154"/>
      <c r="H102" s="152"/>
      <c r="I102" s="152"/>
      <c r="J102" s="152"/>
    </row>
    <row r="103" spans="1:10" s="21" customFormat="1" ht="13">
      <c r="A103" s="20"/>
      <c r="B103" s="152"/>
      <c r="C103" s="153"/>
      <c r="D103" s="153"/>
      <c r="E103" s="152"/>
      <c r="F103" s="154"/>
      <c r="G103" s="154"/>
      <c r="H103" s="152"/>
      <c r="I103" s="152"/>
      <c r="J103" s="152"/>
    </row>
    <row r="104" spans="1:10" s="21" customFormat="1" ht="13.5" thickBot="1">
      <c r="A104" s="130" t="s">
        <v>259</v>
      </c>
    </row>
    <row r="105" spans="1:10" s="21" customFormat="1" ht="13.5" thickBot="1">
      <c r="A105" s="170"/>
      <c r="B105" s="171"/>
      <c r="C105" s="171"/>
      <c r="D105" s="171"/>
      <c r="E105" s="171"/>
      <c r="F105" s="171"/>
      <c r="G105" s="171"/>
      <c r="H105" s="171"/>
      <c r="I105" s="171"/>
      <c r="J105" s="172"/>
    </row>
    <row r="106" spans="1:10" s="21" customFormat="1" ht="13">
      <c r="A106" s="352" t="s">
        <v>226</v>
      </c>
      <c r="B106" s="352"/>
      <c r="C106" s="352"/>
      <c r="D106" s="352"/>
      <c r="E106" s="352"/>
      <c r="F106" s="352"/>
      <c r="G106" s="352"/>
      <c r="H106" s="352"/>
      <c r="I106" s="352"/>
      <c r="J106" s="352"/>
    </row>
    <row r="107" spans="1:10" s="21" customFormat="1" ht="13"/>
    <row r="108" spans="1:10" s="21" customFormat="1" ht="13">
      <c r="H108" s="155" t="s">
        <v>227</v>
      </c>
    </row>
    <row r="109" spans="1:10" s="21" customFormat="1" ht="13">
      <c r="H109" s="155"/>
    </row>
    <row r="110" spans="1:10" s="21" customFormat="1" ht="13">
      <c r="E110" s="337" t="str">
        <f>INDEX(基本信息!B:B,MATCH(H3,基本信息!D:D,0))</f>
        <v>aiwenczl股份有限公司</v>
      </c>
      <c r="F110" s="337"/>
      <c r="G110" s="337"/>
      <c r="H110" s="337"/>
      <c r="I110" s="337"/>
      <c r="J110" s="337"/>
    </row>
    <row r="111" spans="1:10" s="21" customFormat="1" ht="13">
      <c r="H111" s="155"/>
    </row>
    <row r="112" spans="1:10" s="21" customFormat="1" ht="13">
      <c r="H112" s="20"/>
    </row>
    <row r="113" spans="1:29" s="21" customFormat="1" ht="13">
      <c r="H113" s="353" t="s">
        <v>228</v>
      </c>
      <c r="I113" s="353"/>
      <c r="J113" s="353"/>
    </row>
    <row r="114" spans="1:29" s="21" customFormat="1" ht="13">
      <c r="H114" s="20" t="s">
        <v>248</v>
      </c>
      <c r="I114" s="155"/>
      <c r="J114" s="155"/>
    </row>
    <row r="115" spans="1:29" s="21" customFormat="1" ht="13">
      <c r="H115" s="20" t="s">
        <v>249</v>
      </c>
      <c r="I115" s="155"/>
      <c r="J115" s="155"/>
    </row>
    <row r="116" spans="1:29" s="21" customFormat="1" ht="13">
      <c r="H116" s="21" t="s">
        <v>250</v>
      </c>
      <c r="N116" s="130"/>
      <c r="O116" s="130"/>
      <c r="P116" s="130"/>
      <c r="Q116" s="130"/>
      <c r="R116" s="130"/>
      <c r="S116" s="130"/>
      <c r="T116" s="130"/>
      <c r="U116" s="130"/>
      <c r="V116" s="130"/>
      <c r="W116" s="130"/>
      <c r="X116" s="130"/>
      <c r="Y116" s="130"/>
      <c r="Z116" s="130"/>
      <c r="AA116" s="130"/>
      <c r="AB116" s="130"/>
      <c r="AC116" s="130"/>
    </row>
    <row r="117" spans="1:29" s="130" customFormat="1" ht="13">
      <c r="A117" s="21"/>
      <c r="B117" s="21"/>
      <c r="C117" s="21"/>
      <c r="D117" s="21"/>
      <c r="E117" s="21"/>
      <c r="F117" s="21"/>
      <c r="G117" s="21"/>
      <c r="H117" s="21"/>
      <c r="I117" s="21"/>
      <c r="J117" s="21"/>
    </row>
    <row r="118" spans="1:29" s="130" customFormat="1" ht="13.5" thickBot="1">
      <c r="A118" s="354" t="s">
        <v>260</v>
      </c>
      <c r="B118" s="355"/>
      <c r="C118" s="355"/>
      <c r="D118" s="355"/>
      <c r="E118" s="355"/>
      <c r="F118" s="355"/>
      <c r="G118" s="355"/>
      <c r="H118" s="355"/>
      <c r="I118" s="355"/>
      <c r="J118" s="355"/>
    </row>
    <row r="119" spans="1:29" s="130" customFormat="1" ht="13">
      <c r="A119" s="156" t="s">
        <v>251</v>
      </c>
      <c r="B119" s="157"/>
      <c r="C119" s="157"/>
      <c r="D119" s="157"/>
      <c r="E119" s="157"/>
      <c r="F119" s="157"/>
      <c r="G119" s="157"/>
      <c r="H119" s="157"/>
      <c r="I119" s="157"/>
      <c r="J119" s="158"/>
    </row>
    <row r="120" spans="1:29" s="130" customFormat="1" ht="13">
      <c r="A120" s="159"/>
      <c r="J120" s="160"/>
    </row>
    <row r="121" spans="1:29" s="130" customFormat="1" ht="13">
      <c r="A121" s="159"/>
      <c r="J121" s="160"/>
    </row>
    <row r="122" spans="1:29" s="130" customFormat="1" ht="13">
      <c r="A122" s="159"/>
      <c r="H122" s="111" t="s">
        <v>229</v>
      </c>
      <c r="J122" s="160"/>
    </row>
    <row r="123" spans="1:29" s="130" customFormat="1" ht="13">
      <c r="A123" s="159"/>
      <c r="J123" s="160"/>
    </row>
    <row r="124" spans="1:29" s="130" customFormat="1" ht="13">
      <c r="A124" s="159"/>
      <c r="H124" s="113" t="s">
        <v>252</v>
      </c>
      <c r="J124" s="160"/>
    </row>
    <row r="125" spans="1:29" s="130" customFormat="1" ht="13">
      <c r="A125" s="159"/>
      <c r="H125" s="114"/>
      <c r="J125" s="160"/>
    </row>
    <row r="126" spans="1:29" s="130" customFormat="1" ht="13">
      <c r="A126" s="159"/>
      <c r="F126" s="112" t="s">
        <v>179</v>
      </c>
      <c r="H126" s="161" t="s">
        <v>230</v>
      </c>
      <c r="J126" s="160"/>
    </row>
    <row r="127" spans="1:29" s="130" customFormat="1" ht="13">
      <c r="A127" s="159"/>
      <c r="F127" s="161" t="s">
        <v>231</v>
      </c>
      <c r="H127" s="161" t="s">
        <v>231</v>
      </c>
      <c r="J127" s="160"/>
    </row>
    <row r="128" spans="1:29" s="130" customFormat="1" ht="13">
      <c r="A128" s="159"/>
      <c r="F128" s="112" t="s">
        <v>232</v>
      </c>
      <c r="H128" s="112" t="s">
        <v>232</v>
      </c>
      <c r="J128" s="160"/>
    </row>
    <row r="129" spans="1:29" s="130" customFormat="1" ht="13.5" thickBot="1">
      <c r="A129" s="162"/>
      <c r="B129" s="163"/>
      <c r="C129" s="163"/>
      <c r="D129" s="163"/>
      <c r="E129" s="163"/>
      <c r="F129" s="163"/>
      <c r="G129" s="163"/>
      <c r="H129" s="163"/>
      <c r="I129" s="163"/>
      <c r="J129" s="164"/>
    </row>
    <row r="130" spans="1:29" s="130" customFormat="1" ht="13">
      <c r="A130" s="156" t="s">
        <v>253</v>
      </c>
      <c r="B130" s="157"/>
      <c r="C130" s="157"/>
      <c r="D130" s="157"/>
      <c r="E130" s="157"/>
      <c r="F130" s="157"/>
      <c r="G130" s="157"/>
      <c r="H130" s="157"/>
      <c r="I130" s="157"/>
      <c r="J130" s="158"/>
    </row>
    <row r="131" spans="1:29" s="130" customFormat="1" ht="13">
      <c r="A131" s="159"/>
      <c r="J131" s="160"/>
    </row>
    <row r="132" spans="1:29" s="130" customFormat="1" ht="13">
      <c r="A132" s="159"/>
      <c r="J132" s="160"/>
    </row>
    <row r="133" spans="1:29" s="130" customFormat="1" ht="13">
      <c r="A133" s="159"/>
      <c r="H133" s="111" t="s">
        <v>229</v>
      </c>
      <c r="J133" s="160"/>
    </row>
    <row r="134" spans="1:29" s="130" customFormat="1" ht="13">
      <c r="A134" s="159"/>
      <c r="J134" s="160"/>
    </row>
    <row r="135" spans="1:29" s="130" customFormat="1" ht="13">
      <c r="A135" s="159"/>
      <c r="H135" s="113" t="s">
        <v>252</v>
      </c>
      <c r="J135" s="160"/>
    </row>
    <row r="136" spans="1:29" s="130" customFormat="1" ht="13">
      <c r="A136" s="159"/>
      <c r="H136" s="114"/>
      <c r="J136" s="160"/>
    </row>
    <row r="137" spans="1:29" s="130" customFormat="1" ht="13">
      <c r="A137" s="159"/>
      <c r="F137" s="112" t="s">
        <v>179</v>
      </c>
      <c r="H137" s="161" t="s">
        <v>230</v>
      </c>
      <c r="J137" s="160"/>
    </row>
    <row r="138" spans="1:29" s="130" customFormat="1" ht="13">
      <c r="A138" s="159"/>
      <c r="F138" s="161" t="s">
        <v>231</v>
      </c>
      <c r="H138" s="161" t="s">
        <v>231</v>
      </c>
      <c r="J138" s="160"/>
    </row>
    <row r="139" spans="1:29" s="130" customFormat="1" ht="13">
      <c r="A139" s="159"/>
      <c r="F139" s="112" t="s">
        <v>232</v>
      </c>
      <c r="H139" s="112" t="s">
        <v>232</v>
      </c>
      <c r="J139" s="160"/>
      <c r="N139" s="21"/>
      <c r="O139" s="21"/>
      <c r="P139" s="21"/>
      <c r="Q139" s="21"/>
      <c r="R139" s="21"/>
      <c r="S139" s="21"/>
      <c r="T139" s="21"/>
      <c r="U139" s="21"/>
      <c r="V139" s="21"/>
      <c r="W139" s="21"/>
      <c r="X139" s="21"/>
      <c r="Y139" s="21"/>
      <c r="Z139" s="21"/>
      <c r="AA139" s="21"/>
      <c r="AB139" s="21"/>
      <c r="AC139" s="21"/>
    </row>
    <row r="140" spans="1:29" s="21" customFormat="1" ht="13.5" thickBot="1">
      <c r="A140" s="162"/>
      <c r="B140" s="163"/>
      <c r="C140" s="163"/>
      <c r="D140" s="163"/>
      <c r="E140" s="163"/>
      <c r="F140" s="163"/>
      <c r="G140" s="163"/>
      <c r="H140" s="163"/>
      <c r="I140" s="115"/>
      <c r="J140" s="164"/>
    </row>
    <row r="141" spans="1:29" s="21" customFormat="1" ht="13">
      <c r="A141" s="165" t="s">
        <v>233</v>
      </c>
    </row>
    <row r="142" spans="1:29" s="21" customFormat="1" ht="13">
      <c r="A142" s="21" t="s">
        <v>254</v>
      </c>
    </row>
    <row r="143" spans="1:29" s="21" customFormat="1" ht="13">
      <c r="A143" s="21" t="s">
        <v>255</v>
      </c>
    </row>
    <row r="144" spans="1:29" s="21" customFormat="1">
      <c r="A144" s="21" t="s">
        <v>256</v>
      </c>
      <c r="N144" s="192"/>
      <c r="O144" s="192"/>
      <c r="P144" s="192"/>
      <c r="Q144" s="192"/>
      <c r="R144" s="192"/>
      <c r="S144" s="192"/>
      <c r="T144" s="192"/>
      <c r="U144" s="192"/>
      <c r="V144" s="192"/>
      <c r="W144" s="192"/>
      <c r="X144" s="192"/>
      <c r="Y144" s="192"/>
      <c r="Z144" s="192"/>
      <c r="AA144" s="108"/>
      <c r="AB144" s="108"/>
      <c r="AC144" s="108"/>
    </row>
  </sheetData>
  <mergeCells count="183">
    <mergeCell ref="A2:J2"/>
    <mergeCell ref="D12:E12"/>
    <mergeCell ref="B17:C17"/>
    <mergeCell ref="B19:C19"/>
    <mergeCell ref="A99:B99"/>
    <mergeCell ref="C99:D99"/>
    <mergeCell ref="F99:G99"/>
    <mergeCell ref="H99:I99"/>
    <mergeCell ref="F87:G87"/>
    <mergeCell ref="A82:B82"/>
    <mergeCell ref="A83:B83"/>
    <mergeCell ref="C83:D83"/>
    <mergeCell ref="E83:F83"/>
    <mergeCell ref="A81:B81"/>
    <mergeCell ref="C81:D81"/>
    <mergeCell ref="E81:F81"/>
    <mergeCell ref="B65:C65"/>
    <mergeCell ref="D65:E65"/>
    <mergeCell ref="B57:C57"/>
    <mergeCell ref="D57:E57"/>
    <mergeCell ref="G57:H57"/>
    <mergeCell ref="G51:H51"/>
    <mergeCell ref="G50:H50"/>
    <mergeCell ref="C37:D37"/>
    <mergeCell ref="C43:D43"/>
    <mergeCell ref="E31:G31"/>
    <mergeCell ref="I31:J31"/>
    <mergeCell ref="A35:B35"/>
    <mergeCell ref="C35:D35"/>
    <mergeCell ref="A36:B36"/>
    <mergeCell ref="A37:B37"/>
    <mergeCell ref="D24:E24"/>
    <mergeCell ref="D25:E25"/>
    <mergeCell ref="A29:D29"/>
    <mergeCell ref="E29:G29"/>
    <mergeCell ref="I29:J29"/>
    <mergeCell ref="A30:D30"/>
    <mergeCell ref="E30:G30"/>
    <mergeCell ref="I30:J30"/>
    <mergeCell ref="C36:D36"/>
    <mergeCell ref="A31:D31"/>
    <mergeCell ref="I50:J50"/>
    <mergeCell ref="B51:C51"/>
    <mergeCell ref="D51:E51"/>
    <mergeCell ref="I51:J51"/>
    <mergeCell ref="B52:C52"/>
    <mergeCell ref="D52:E52"/>
    <mergeCell ref="G52:H52"/>
    <mergeCell ref="I52:J52"/>
    <mergeCell ref="A42:B42"/>
    <mergeCell ref="C42:D42"/>
    <mergeCell ref="A43:B43"/>
    <mergeCell ref="A44:B44"/>
    <mergeCell ref="B50:C50"/>
    <mergeCell ref="D50:E50"/>
    <mergeCell ref="C44:D44"/>
    <mergeCell ref="B63:C63"/>
    <mergeCell ref="D63:E63"/>
    <mergeCell ref="G63:H63"/>
    <mergeCell ref="I63:J63"/>
    <mergeCell ref="B64:C64"/>
    <mergeCell ref="D64:E64"/>
    <mergeCell ref="G64:H64"/>
    <mergeCell ref="I64:J64"/>
    <mergeCell ref="I57:J57"/>
    <mergeCell ref="B58:C58"/>
    <mergeCell ref="D58:E58"/>
    <mergeCell ref="G58:H58"/>
    <mergeCell ref="I58:J58"/>
    <mergeCell ref="B59:C59"/>
    <mergeCell ref="D59:E59"/>
    <mergeCell ref="G59:H59"/>
    <mergeCell ref="I59:J59"/>
    <mergeCell ref="G65:H65"/>
    <mergeCell ref="I65:J65"/>
    <mergeCell ref="C69:D69"/>
    <mergeCell ref="C70:D70"/>
    <mergeCell ref="C71:D71"/>
    <mergeCell ref="A75:B75"/>
    <mergeCell ref="C75:D75"/>
    <mergeCell ref="E75:F75"/>
    <mergeCell ref="G75:H75"/>
    <mergeCell ref="I75:J75"/>
    <mergeCell ref="G81:H81"/>
    <mergeCell ref="I81:J81"/>
    <mergeCell ref="C82:D82"/>
    <mergeCell ref="E82:F82"/>
    <mergeCell ref="G82:H82"/>
    <mergeCell ref="I82:J82"/>
    <mergeCell ref="A76:B76"/>
    <mergeCell ref="C76:D76"/>
    <mergeCell ref="E76:F76"/>
    <mergeCell ref="G76:H76"/>
    <mergeCell ref="I76:J76"/>
    <mergeCell ref="A77:B77"/>
    <mergeCell ref="C77:D77"/>
    <mergeCell ref="E77:F77"/>
    <mergeCell ref="G77:H77"/>
    <mergeCell ref="I77:J77"/>
    <mergeCell ref="F89:G89"/>
    <mergeCell ref="I89:J89"/>
    <mergeCell ref="A93:D93"/>
    <mergeCell ref="E93:F93"/>
    <mergeCell ref="G93:H93"/>
    <mergeCell ref="I93:J93"/>
    <mergeCell ref="G83:H83"/>
    <mergeCell ref="I83:J83"/>
    <mergeCell ref="A87:B87"/>
    <mergeCell ref="C87:D87"/>
    <mergeCell ref="I87:J87"/>
    <mergeCell ref="A88:B88"/>
    <mergeCell ref="C88:D88"/>
    <mergeCell ref="F88:G88"/>
    <mergeCell ref="I88:J88"/>
    <mergeCell ref="A106:J106"/>
    <mergeCell ref="E110:J110"/>
    <mergeCell ref="H113:J113"/>
    <mergeCell ref="A118:J118"/>
    <mergeCell ref="A21:J22"/>
    <mergeCell ref="A54:J55"/>
    <mergeCell ref="A100:B100"/>
    <mergeCell ref="C100:D100"/>
    <mergeCell ref="F100:G100"/>
    <mergeCell ref="H100:I100"/>
    <mergeCell ref="A101:B101"/>
    <mergeCell ref="C101:D101"/>
    <mergeCell ref="F101:G101"/>
    <mergeCell ref="H101:I101"/>
    <mergeCell ref="A94:D94"/>
    <mergeCell ref="E94:F94"/>
    <mergeCell ref="G94:H94"/>
    <mergeCell ref="I94:J94"/>
    <mergeCell ref="A95:D95"/>
    <mergeCell ref="E95:F95"/>
    <mergeCell ref="G95:H95"/>
    <mergeCell ref="I95:J95"/>
    <mergeCell ref="A89:B89"/>
    <mergeCell ref="C89:D89"/>
    <mergeCell ref="Q15:R15"/>
    <mergeCell ref="S15:T15"/>
    <mergeCell ref="R16:S16"/>
    <mergeCell ref="T16:U16"/>
    <mergeCell ref="W16:X16"/>
    <mergeCell ref="Y16:Z16"/>
    <mergeCell ref="A5:J9"/>
    <mergeCell ref="R11:S11"/>
    <mergeCell ref="T12:U12"/>
    <mergeCell ref="Q13:T13"/>
    <mergeCell ref="U13:W13"/>
    <mergeCell ref="Y13:Z13"/>
    <mergeCell ref="Q14:R14"/>
    <mergeCell ref="S14:T14"/>
    <mergeCell ref="Q10:Z10"/>
    <mergeCell ref="F12:G12"/>
    <mergeCell ref="A13:J14"/>
    <mergeCell ref="S19:T19"/>
    <mergeCell ref="Q20:R20"/>
    <mergeCell ref="S20:T20"/>
    <mergeCell ref="U20:V20"/>
    <mergeCell ref="W20:X20"/>
    <mergeCell ref="Y20:Z20"/>
    <mergeCell ref="R17:S17"/>
    <mergeCell ref="T17:U17"/>
    <mergeCell ref="W17:X17"/>
    <mergeCell ref="Y17:Z17"/>
    <mergeCell ref="R18:S18"/>
    <mergeCell ref="T18:U18"/>
    <mergeCell ref="W18:X18"/>
    <mergeCell ref="Y18:Z18"/>
    <mergeCell ref="Q23:R23"/>
    <mergeCell ref="S23:T23"/>
    <mergeCell ref="V23:W23"/>
    <mergeCell ref="X23:Y23"/>
    <mergeCell ref="Q24:Z24"/>
    <mergeCell ref="Q21:R21"/>
    <mergeCell ref="S21:T21"/>
    <mergeCell ref="U21:V21"/>
    <mergeCell ref="W21:X21"/>
    <mergeCell ref="Y21:Z21"/>
    <mergeCell ref="Q22:T22"/>
    <mergeCell ref="U22:V22"/>
    <mergeCell ref="W22:X22"/>
    <mergeCell ref="Y22:Z22"/>
  </mergeCells>
  <phoneticPr fontId="3" type="noConversion"/>
  <pageMargins left="0.7" right="0.7" top="0.75" bottom="0.75" header="0.3" footer="0.3"/>
  <pageSetup paperSize="9" scale="77" orientation="portrait"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3832-E4B1-4ACF-A6E1-891217F495AF}">
  <sheetPr codeName="Sheet7"/>
  <dimension ref="A1:U47"/>
  <sheetViews>
    <sheetView view="pageBreakPreview" zoomScale="60" zoomScaleNormal="100" workbookViewId="0">
      <selection activeCell="I4" sqref="I4"/>
    </sheetView>
  </sheetViews>
  <sheetFormatPr defaultColWidth="8.25" defaultRowHeight="15.5"/>
  <cols>
    <col min="1" max="1" width="11.58203125" style="241" customWidth="1"/>
    <col min="2" max="2" width="12.58203125" style="241" customWidth="1"/>
    <col min="3" max="3" width="22.58203125" style="241" customWidth="1"/>
    <col min="4" max="5" width="14.6640625" style="241" customWidth="1"/>
    <col min="6" max="6" width="19.5" style="241" customWidth="1"/>
    <col min="7" max="16384" width="8.25" style="241"/>
  </cols>
  <sheetData>
    <row r="1" spans="1:21" ht="41.5" customHeight="1">
      <c r="A1" s="240"/>
      <c r="B1" s="240"/>
      <c r="C1" s="240"/>
      <c r="D1" s="240"/>
      <c r="E1" s="240"/>
      <c r="F1" s="60" t="str">
        <f>INDEX(基本信息!E:E,MATCH(F3,基本信息!D:D,0))</f>
        <v>*SZ04999100-4300-001*</v>
      </c>
    </row>
    <row r="2" spans="1:21" ht="21">
      <c r="A2" s="240" t="s">
        <v>323</v>
      </c>
      <c r="B2" s="240"/>
      <c r="C2" s="240"/>
      <c r="D2" s="240"/>
      <c r="E2" s="240"/>
      <c r="F2" s="240"/>
      <c r="I2" s="66" t="str">
        <f>HYPERLINK("#基本信息!I1","返回基本信息")</f>
        <v>返回基本信息</v>
      </c>
    </row>
    <row r="3" spans="1:21">
      <c r="D3" s="12"/>
      <c r="E3" s="14" t="s">
        <v>14</v>
      </c>
      <c r="F3" s="245" t="s">
        <v>57</v>
      </c>
      <c r="I3" s="66" t="str">
        <f>HYPERLINK("#操作平台!A3","返回操作平台")</f>
        <v>返回操作平台</v>
      </c>
      <c r="M3" s="12"/>
      <c r="N3" s="176" t="s">
        <v>276</v>
      </c>
      <c r="O3" s="12"/>
      <c r="P3" s="12"/>
      <c r="Q3" s="12"/>
      <c r="R3" s="12"/>
      <c r="S3" s="12"/>
      <c r="T3" s="12"/>
    </row>
    <row r="4" spans="1:21">
      <c r="A4" s="244" t="str">
        <f>"致："&amp;INDEX(基本信息!C:C,MATCH(F3,基本信息!D:D,0))</f>
        <v>致：客户001</v>
      </c>
      <c r="B4" s="243"/>
      <c r="C4" s="244"/>
      <c r="D4" s="12"/>
      <c r="E4" s="12"/>
      <c r="F4" s="12"/>
      <c r="I4" s="82" t="str">
        <f>HYPERLINK("#使用说明!B2","返回模板池")</f>
        <v>返回模板池</v>
      </c>
      <c r="J4" s="22"/>
      <c r="M4" s="12"/>
      <c r="N4" s="12"/>
      <c r="O4" s="12"/>
      <c r="P4" s="12"/>
      <c r="Q4" s="12"/>
      <c r="R4" s="12"/>
      <c r="S4" s="12"/>
      <c r="T4" s="12"/>
    </row>
    <row r="5" spans="1:21" s="22" customFormat="1" ht="13">
      <c r="A5" s="345" t="s">
        <v>15</v>
      </c>
      <c r="B5" s="345"/>
      <c r="C5" s="345"/>
      <c r="D5" s="345"/>
      <c r="E5" s="345"/>
      <c r="F5" s="345"/>
      <c r="M5" s="12"/>
      <c r="N5" s="177" t="s">
        <v>109</v>
      </c>
      <c r="O5" s="174" t="s">
        <v>347</v>
      </c>
      <c r="P5" s="12"/>
      <c r="Q5" s="12"/>
      <c r="R5" s="12"/>
      <c r="S5" s="12"/>
      <c r="T5" s="12"/>
    </row>
    <row r="6" spans="1:21" s="246" customFormat="1">
      <c r="A6" s="345"/>
      <c r="B6" s="345"/>
      <c r="C6" s="345"/>
      <c r="D6" s="345"/>
      <c r="E6" s="345"/>
      <c r="F6" s="345"/>
      <c r="I6" s="96"/>
      <c r="M6" s="12"/>
      <c r="N6" s="177" t="s">
        <v>134</v>
      </c>
      <c r="O6" s="174" t="s">
        <v>90</v>
      </c>
      <c r="P6" s="12"/>
      <c r="Q6" s="12"/>
      <c r="R6" s="12"/>
      <c r="S6" s="12"/>
      <c r="T6" s="12"/>
    </row>
    <row r="7" spans="1:21" s="246" customFormat="1">
      <c r="A7" s="345"/>
      <c r="B7" s="345"/>
      <c r="C7" s="345"/>
      <c r="D7" s="345"/>
      <c r="E7" s="345"/>
      <c r="F7" s="345"/>
      <c r="I7" s="96"/>
      <c r="M7" s="12"/>
      <c r="N7" s="177" t="s">
        <v>135</v>
      </c>
      <c r="O7" s="174" t="s">
        <v>346</v>
      </c>
      <c r="P7" s="12"/>
      <c r="Q7" s="12"/>
      <c r="R7" s="12"/>
      <c r="S7" s="12"/>
      <c r="T7" s="12"/>
    </row>
    <row r="8" spans="1:21" s="246" customFormat="1" ht="14">
      <c r="A8" s="345"/>
      <c r="B8" s="345"/>
      <c r="C8" s="345"/>
      <c r="D8" s="345"/>
      <c r="E8" s="345"/>
      <c r="F8" s="345"/>
      <c r="M8" s="12"/>
      <c r="N8" s="177" t="s">
        <v>122</v>
      </c>
      <c r="O8" s="174" t="s">
        <v>348</v>
      </c>
      <c r="P8" s="12"/>
      <c r="Q8" s="12"/>
      <c r="R8" s="12"/>
      <c r="S8" s="12"/>
      <c r="T8" s="12"/>
    </row>
    <row r="9" spans="1:21" s="246" customFormat="1" ht="14">
      <c r="A9" s="345"/>
      <c r="B9" s="345"/>
      <c r="C9" s="345"/>
      <c r="D9" s="345"/>
      <c r="E9" s="345"/>
      <c r="F9" s="345"/>
      <c r="M9" s="12"/>
      <c r="N9" s="177" t="s">
        <v>182</v>
      </c>
      <c r="O9" s="175" t="s">
        <v>185</v>
      </c>
      <c r="P9" s="12"/>
      <c r="Q9" s="12"/>
      <c r="R9" s="12"/>
      <c r="S9" s="12"/>
      <c r="T9" s="12"/>
    </row>
    <row r="10" spans="1:21" s="242" customFormat="1" ht="14">
      <c r="A10" s="17" t="s">
        <v>16</v>
      </c>
      <c r="B10" s="343" t="s">
        <v>0</v>
      </c>
      <c r="C10" s="344"/>
      <c r="D10" s="344"/>
      <c r="E10" s="18"/>
      <c r="F10" s="285"/>
      <c r="M10" s="12"/>
      <c r="N10" s="12"/>
      <c r="O10" s="12"/>
      <c r="P10" s="12"/>
      <c r="Q10" s="12"/>
      <c r="R10" s="12"/>
      <c r="S10" s="12"/>
      <c r="T10" s="12"/>
    </row>
    <row r="11" spans="1:21" s="249" customFormat="1" ht="16" thickBot="1">
      <c r="A11" s="17" t="s">
        <v>17</v>
      </c>
      <c r="B11" s="343" t="s">
        <v>18</v>
      </c>
      <c r="C11" s="344"/>
      <c r="D11" s="344"/>
      <c r="E11" s="19" t="s">
        <v>1</v>
      </c>
      <c r="F11" s="248"/>
      <c r="M11" s="12"/>
      <c r="N11" s="12"/>
      <c r="O11" s="12"/>
      <c r="P11" s="12"/>
      <c r="Q11" s="12"/>
      <c r="R11" s="12"/>
      <c r="S11" s="12"/>
      <c r="T11" s="12"/>
    </row>
    <row r="12" spans="1:21" s="250" customFormat="1">
      <c r="A12" s="20" t="s">
        <v>2</v>
      </c>
      <c r="B12" s="21" t="s">
        <v>8</v>
      </c>
      <c r="C12" s="12"/>
      <c r="D12" s="22" t="s">
        <v>19</v>
      </c>
      <c r="E12" s="23" t="s">
        <v>9</v>
      </c>
      <c r="F12" s="248"/>
      <c r="M12" s="173" t="s">
        <v>94</v>
      </c>
      <c r="N12" s="173" t="s">
        <v>344</v>
      </c>
      <c r="O12" s="173" t="s">
        <v>54</v>
      </c>
      <c r="P12" s="439" t="s">
        <v>110</v>
      </c>
      <c r="Q12" s="440"/>
      <c r="R12" s="440"/>
      <c r="S12" s="440"/>
      <c r="T12" s="440"/>
      <c r="U12" s="441"/>
    </row>
    <row r="13" spans="1:21" s="242" customFormat="1" ht="14.5" thickBot="1">
      <c r="A13" s="246" t="s">
        <v>343</v>
      </c>
      <c r="B13" s="246"/>
      <c r="C13" s="251"/>
      <c r="D13" s="251"/>
      <c r="E13" s="251"/>
      <c r="F13" s="252" t="s">
        <v>324</v>
      </c>
      <c r="M13" s="293" t="s">
        <v>345</v>
      </c>
      <c r="N13" s="242">
        <v>15</v>
      </c>
      <c r="O13" s="173" t="s">
        <v>54</v>
      </c>
      <c r="P13" s="288" t="s">
        <v>325</v>
      </c>
      <c r="Q13" s="286"/>
      <c r="R13" s="286"/>
      <c r="S13" s="287" t="s">
        <v>326</v>
      </c>
      <c r="T13" s="287" t="s">
        <v>327</v>
      </c>
      <c r="U13" s="289" t="s">
        <v>328</v>
      </c>
    </row>
    <row r="14" spans="1:21" s="242" customFormat="1" ht="14">
      <c r="A14" s="253" t="s">
        <v>325</v>
      </c>
      <c r="B14" s="254"/>
      <c r="C14" s="255"/>
      <c r="D14" s="256" t="s">
        <v>326</v>
      </c>
      <c r="E14" s="256" t="s">
        <v>327</v>
      </c>
      <c r="F14" s="257" t="s">
        <v>328</v>
      </c>
      <c r="M14" s="293" t="s">
        <v>294</v>
      </c>
      <c r="N14" s="242">
        <v>24</v>
      </c>
      <c r="O14" s="173" t="s">
        <v>54</v>
      </c>
      <c r="P14" s="436" t="s">
        <v>294</v>
      </c>
      <c r="Q14" s="437"/>
      <c r="R14" s="437"/>
      <c r="S14" s="437"/>
      <c r="T14" s="437"/>
      <c r="U14" s="438"/>
    </row>
    <row r="15" spans="1:21" s="242" customFormat="1" ht="14.5" thickBot="1">
      <c r="A15" s="442"/>
      <c r="B15" s="443"/>
      <c r="C15" s="444"/>
      <c r="D15" s="258"/>
      <c r="E15" s="258"/>
      <c r="F15" s="259"/>
      <c r="P15" s="290"/>
      <c r="Q15" s="291"/>
      <c r="R15" s="291"/>
      <c r="S15" s="291"/>
      <c r="T15" s="291"/>
      <c r="U15" s="292"/>
    </row>
    <row r="16" spans="1:21" s="242" customFormat="1" ht="14.5" thickBot="1">
      <c r="A16" s="260" t="s">
        <v>329</v>
      </c>
      <c r="B16" s="261"/>
      <c r="C16" s="262"/>
      <c r="D16" s="263">
        <f>SUM(D14:D15)</f>
        <v>0</v>
      </c>
      <c r="E16" s="263"/>
      <c r="F16" s="264">
        <f>SUM(F14:F15)</f>
        <v>0</v>
      </c>
    </row>
    <row r="17" spans="1:6" s="242" customFormat="1" ht="14">
      <c r="A17" s="265"/>
      <c r="B17" s="265"/>
      <c r="C17" s="266"/>
      <c r="D17" s="266"/>
      <c r="E17" s="266"/>
      <c r="F17" s="252"/>
    </row>
    <row r="18" spans="1:6" s="242" customFormat="1" ht="14">
      <c r="A18" s="267"/>
      <c r="B18" s="267"/>
      <c r="C18" s="266"/>
      <c r="D18" s="266"/>
      <c r="E18" s="268"/>
      <c r="F18" s="252"/>
    </row>
    <row r="19" spans="1:6" s="242" customFormat="1" ht="14">
      <c r="A19" s="246" t="s">
        <v>330</v>
      </c>
      <c r="B19" s="246"/>
      <c r="C19" s="269"/>
      <c r="D19" s="269"/>
      <c r="E19" s="269"/>
      <c r="F19" s="252"/>
    </row>
    <row r="20" spans="1:6" s="242" customFormat="1" ht="19.899999999999999" customHeight="1">
      <c r="A20" s="246" t="s">
        <v>331</v>
      </c>
      <c r="B20" s="246"/>
      <c r="C20" s="269"/>
      <c r="D20" s="268" t="s">
        <v>332</v>
      </c>
      <c r="E20" s="269"/>
      <c r="F20" s="252"/>
    </row>
    <row r="21" spans="1:6" s="242" customFormat="1" ht="19.899999999999999" customHeight="1">
      <c r="A21" s="246" t="s">
        <v>333</v>
      </c>
      <c r="B21" s="246"/>
      <c r="C21" s="269"/>
      <c r="D21" s="268" t="s">
        <v>332</v>
      </c>
      <c r="E21" s="269"/>
      <c r="F21" s="252"/>
    </row>
    <row r="22" spans="1:6" s="242" customFormat="1" ht="14">
      <c r="A22" s="246"/>
      <c r="B22" s="246"/>
      <c r="C22" s="269"/>
      <c r="D22" s="268"/>
      <c r="E22" s="269"/>
      <c r="F22" s="252"/>
    </row>
    <row r="23" spans="1:6" s="242" customFormat="1" ht="14.5" thickBot="1">
      <c r="A23" s="246" t="s">
        <v>334</v>
      </c>
      <c r="B23" s="246"/>
      <c r="C23" s="269"/>
      <c r="D23" s="268"/>
      <c r="E23" s="269"/>
      <c r="F23" s="252"/>
    </row>
    <row r="24" spans="1:6" s="242" customFormat="1" ht="24" customHeight="1" thickBot="1">
      <c r="A24" s="270"/>
      <c r="B24" s="271"/>
      <c r="C24" s="271"/>
      <c r="D24" s="271"/>
      <c r="E24" s="271"/>
      <c r="F24" s="272"/>
    </row>
    <row r="25" spans="1:6" s="242" customFormat="1" ht="14">
      <c r="A25" s="246"/>
      <c r="B25" s="246"/>
      <c r="C25" s="269"/>
      <c r="D25" s="268"/>
      <c r="E25" s="269"/>
      <c r="F25" s="252"/>
    </row>
    <row r="26" spans="1:6" s="242" customFormat="1" ht="14">
      <c r="A26" s="247" t="s">
        <v>335</v>
      </c>
      <c r="B26" s="246"/>
      <c r="C26" s="251"/>
      <c r="D26" s="251"/>
      <c r="E26" s="251"/>
    </row>
    <row r="27" spans="1:6" s="242" customFormat="1" ht="14">
      <c r="A27" s="273"/>
      <c r="B27" s="246"/>
      <c r="C27" s="251"/>
      <c r="D27" s="251"/>
      <c r="E27" s="251"/>
    </row>
    <row r="28" spans="1:6" s="242" customFormat="1" ht="14">
      <c r="D28" s="445" t="str">
        <f>INDEX(基本信息!B:B,MATCH(F3,基本信息!D:D,0))</f>
        <v>aiwenczl股份有限公司</v>
      </c>
      <c r="E28" s="445"/>
      <c r="F28" s="445"/>
    </row>
    <row r="29" spans="1:6" s="242" customFormat="1" ht="14"/>
    <row r="30" spans="1:6" s="242" customFormat="1" ht="14">
      <c r="E30" s="252" t="s">
        <v>336</v>
      </c>
    </row>
    <row r="31" spans="1:6" s="242" customFormat="1" ht="14">
      <c r="E31" s="274" t="s">
        <v>337</v>
      </c>
    </row>
    <row r="32" spans="1:6" s="242" customFormat="1" ht="14"/>
    <row r="33" spans="1:6" s="242" customFormat="1" ht="14">
      <c r="E33" s="242" t="s">
        <v>338</v>
      </c>
    </row>
    <row r="34" spans="1:6" s="242" customFormat="1" ht="14"/>
    <row r="35" spans="1:6" s="242" customFormat="1" ht="14">
      <c r="A35" s="275" t="s">
        <v>339</v>
      </c>
      <c r="B35" s="276"/>
      <c r="C35" s="277"/>
      <c r="D35" s="278" t="s">
        <v>340</v>
      </c>
      <c r="E35" s="276"/>
      <c r="F35" s="277"/>
    </row>
    <row r="36" spans="1:6" s="242" customFormat="1" ht="14">
      <c r="A36" s="279"/>
      <c r="C36" s="280"/>
      <c r="D36" s="281"/>
      <c r="F36" s="280"/>
    </row>
    <row r="37" spans="1:6" s="242" customFormat="1" ht="14">
      <c r="A37" s="279"/>
      <c r="C37" s="280"/>
      <c r="D37" s="281"/>
      <c r="F37" s="280"/>
    </row>
    <row r="38" spans="1:6" s="242" customFormat="1" ht="14">
      <c r="A38" s="279"/>
      <c r="C38" s="280"/>
      <c r="D38" s="281"/>
      <c r="F38" s="280"/>
    </row>
    <row r="39" spans="1:6" s="242" customFormat="1" ht="14">
      <c r="A39" s="279"/>
      <c r="C39" s="280"/>
      <c r="D39" s="281"/>
      <c r="F39" s="280"/>
    </row>
    <row r="40" spans="1:6" s="242" customFormat="1" ht="14">
      <c r="A40" s="279"/>
      <c r="C40" s="280"/>
      <c r="D40" s="281"/>
      <c r="F40" s="280"/>
    </row>
    <row r="41" spans="1:6" s="242" customFormat="1" ht="14">
      <c r="A41" s="279"/>
      <c r="B41" s="282" t="s">
        <v>341</v>
      </c>
      <c r="C41" s="280"/>
      <c r="D41" s="246"/>
      <c r="E41" s="282" t="s">
        <v>341</v>
      </c>
      <c r="F41" s="280"/>
    </row>
    <row r="42" spans="1:6" s="242" customFormat="1" ht="14">
      <c r="A42" s="279"/>
      <c r="B42" s="282" t="s">
        <v>342</v>
      </c>
      <c r="C42" s="280"/>
      <c r="D42" s="246"/>
      <c r="E42" s="282" t="s">
        <v>342</v>
      </c>
      <c r="F42" s="280"/>
    </row>
    <row r="43" spans="1:6" s="242" customFormat="1" ht="14">
      <c r="A43" s="279"/>
      <c r="B43" s="282" t="s">
        <v>338</v>
      </c>
      <c r="C43" s="280"/>
      <c r="E43" s="282" t="s">
        <v>338</v>
      </c>
      <c r="F43" s="280"/>
    </row>
    <row r="44" spans="1:6" s="242" customFormat="1" ht="14">
      <c r="A44" s="283"/>
      <c r="B44" s="244"/>
      <c r="C44" s="284"/>
      <c r="D44" s="244"/>
      <c r="E44" s="244"/>
      <c r="F44" s="284"/>
    </row>
    <row r="45" spans="1:6" s="242" customFormat="1" ht="14"/>
    <row r="46" spans="1:6" s="242" customFormat="1" ht="14"/>
    <row r="47" spans="1:6" s="242" customFormat="1" ht="14"/>
  </sheetData>
  <mergeCells count="7">
    <mergeCell ref="A5:F9"/>
    <mergeCell ref="P14:U14"/>
    <mergeCell ref="P12:U12"/>
    <mergeCell ref="A15:C15"/>
    <mergeCell ref="D28:F28"/>
    <mergeCell ref="B10:D10"/>
    <mergeCell ref="B11:D11"/>
  </mergeCells>
  <phoneticPr fontId="3" type="noConversion"/>
  <pageMargins left="0.7" right="0.7" top="0.75" bottom="0.75" header="0.3" footer="0.3"/>
  <pageSetup paperSize="9" scale="89" orientation="portrait" verticalDpi="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F3406-76FC-48A4-966B-79250441855A}">
  <sheetPr codeName="Sheet8"/>
  <dimension ref="A1:T33"/>
  <sheetViews>
    <sheetView view="pageBreakPreview" zoomScale="60" zoomScaleNormal="100" workbookViewId="0">
      <selection activeCell="I5" sqref="I5"/>
    </sheetView>
  </sheetViews>
  <sheetFormatPr defaultColWidth="10" defaultRowHeight="12.5"/>
  <cols>
    <col min="1" max="1" width="19.1640625" style="198" customWidth="1"/>
    <col min="2" max="2" width="19.4140625" style="198" customWidth="1"/>
    <col min="3" max="3" width="15.5" style="198" customWidth="1"/>
    <col min="4" max="7" width="13.4140625" style="198" customWidth="1"/>
    <col min="8" max="8" width="10" style="198"/>
    <col min="9" max="9" width="10.25" style="198" customWidth="1"/>
    <col min="10" max="11" width="10" style="198"/>
    <col min="12" max="12" width="20" style="198" customWidth="1"/>
    <col min="13" max="16384" width="10" style="198"/>
  </cols>
  <sheetData>
    <row r="1" spans="1:20" ht="45" customHeight="1">
      <c r="A1" s="196"/>
      <c r="B1" s="196"/>
      <c r="C1" s="196"/>
      <c r="D1" s="196"/>
      <c r="E1" s="196"/>
      <c r="F1" s="196"/>
      <c r="G1" s="197" t="str">
        <f>INDEX(基本信息!E:E,MATCH(有价证券函证模板!F3,基本信息!D:D,0))</f>
        <v>*SZ04999100-4300-001*</v>
      </c>
      <c r="I1" s="66"/>
    </row>
    <row r="2" spans="1:20" ht="19" customHeight="1">
      <c r="A2" s="446" t="s">
        <v>300</v>
      </c>
      <c r="B2" s="447"/>
      <c r="C2" s="447"/>
      <c r="D2" s="447"/>
      <c r="E2" s="447"/>
      <c r="F2" s="447"/>
      <c r="G2" s="447"/>
      <c r="I2" s="66"/>
      <c r="L2" s="193" t="s">
        <v>276</v>
      </c>
      <c r="M2" s="192"/>
    </row>
    <row r="3" spans="1:20" ht="19" customHeight="1">
      <c r="A3" s="199"/>
      <c r="C3" s="200"/>
      <c r="E3" s="200" t="s">
        <v>188</v>
      </c>
      <c r="F3" s="198" t="s">
        <v>57</v>
      </c>
      <c r="I3" s="66" t="str">
        <f>HYPERLINK("#基本信息!I1","返回基本信息")</f>
        <v>返回基本信息</v>
      </c>
      <c r="L3" s="192" t="s">
        <v>272</v>
      </c>
      <c r="M3" s="192" t="s">
        <v>282</v>
      </c>
    </row>
    <row r="4" spans="1:20" ht="19" customHeight="1">
      <c r="A4" s="201" t="str">
        <f>"致:"&amp;INDEX(基本信息!C:C,MATCH(F3,基本信息!D:D,0))</f>
        <v>致:客户001</v>
      </c>
      <c r="I4" s="66" t="str">
        <f>HYPERLINK("#操作平台!A3","返回操作平台")</f>
        <v>返回操作平台</v>
      </c>
      <c r="L4" s="192" t="s">
        <v>273</v>
      </c>
      <c r="M4" s="192" t="s">
        <v>349</v>
      </c>
    </row>
    <row r="5" spans="1:20" ht="19" customHeight="1">
      <c r="I5" s="82" t="str">
        <f>HYPERLINK("#使用说明!B2","返回模板池")</f>
        <v>返回模板池</v>
      </c>
      <c r="L5" s="192" t="s">
        <v>274</v>
      </c>
      <c r="M5" s="192" t="s">
        <v>280</v>
      </c>
    </row>
    <row r="6" spans="1:20" ht="19" customHeight="1">
      <c r="A6" s="458" t="s">
        <v>301</v>
      </c>
      <c r="B6" s="458"/>
      <c r="C6" s="458"/>
      <c r="D6" s="458"/>
      <c r="E6" s="458"/>
      <c r="F6" s="458"/>
      <c r="G6" s="458"/>
      <c r="I6" s="22"/>
      <c r="L6" s="192" t="s">
        <v>275</v>
      </c>
      <c r="M6" s="192" t="s">
        <v>350</v>
      </c>
    </row>
    <row r="7" spans="1:20" ht="19" customHeight="1">
      <c r="A7" s="458"/>
      <c r="B7" s="458"/>
      <c r="C7" s="458"/>
      <c r="D7" s="458"/>
      <c r="E7" s="458"/>
      <c r="F7" s="458"/>
      <c r="G7" s="458"/>
      <c r="I7" s="96"/>
      <c r="L7" s="192" t="s">
        <v>181</v>
      </c>
      <c r="M7" s="193" t="s">
        <v>285</v>
      </c>
    </row>
    <row r="8" spans="1:20" ht="19" customHeight="1">
      <c r="A8" s="458"/>
      <c r="B8" s="458"/>
      <c r="C8" s="458"/>
      <c r="D8" s="458"/>
      <c r="E8" s="458"/>
      <c r="F8" s="458"/>
      <c r="G8" s="458"/>
      <c r="I8" s="202"/>
      <c r="L8" s="192"/>
      <c r="M8" s="192"/>
    </row>
    <row r="9" spans="1:20" s="203" customFormat="1" ht="19" customHeight="1">
      <c r="A9" s="448" t="s">
        <v>302</v>
      </c>
      <c r="B9" s="449"/>
      <c r="C9" s="449"/>
      <c r="D9" s="449"/>
      <c r="E9" s="449"/>
      <c r="F9" s="449"/>
      <c r="G9" s="449"/>
      <c r="L9" s="203" t="s">
        <v>271</v>
      </c>
      <c r="M9" s="239" t="s">
        <v>322</v>
      </c>
      <c r="N9" s="459" t="s">
        <v>351</v>
      </c>
      <c r="O9" s="459"/>
      <c r="P9" s="459"/>
      <c r="Q9" s="459"/>
      <c r="R9" s="459"/>
      <c r="S9" s="459"/>
      <c r="T9" s="459"/>
    </row>
    <row r="10" spans="1:20" ht="19" customHeight="1">
      <c r="A10" s="198" t="s">
        <v>319</v>
      </c>
      <c r="B10" s="204"/>
      <c r="C10" s="205"/>
      <c r="L10" s="239" t="s">
        <v>321</v>
      </c>
      <c r="M10" s="239">
        <v>13</v>
      </c>
      <c r="N10" s="294" t="s">
        <v>305</v>
      </c>
      <c r="O10" s="294" t="s">
        <v>306</v>
      </c>
      <c r="P10" s="294" t="s">
        <v>307</v>
      </c>
      <c r="Q10" s="294" t="s">
        <v>308</v>
      </c>
      <c r="R10" s="294" t="s">
        <v>309</v>
      </c>
      <c r="S10" s="294" t="s">
        <v>310</v>
      </c>
      <c r="T10" s="294" t="s">
        <v>142</v>
      </c>
    </row>
    <row r="11" spans="1:20" ht="19" customHeight="1">
      <c r="A11" s="206" t="s">
        <v>303</v>
      </c>
      <c r="G11" s="207" t="s">
        <v>304</v>
      </c>
      <c r="L11" s="239" t="s">
        <v>294</v>
      </c>
      <c r="M11" s="198">
        <v>16</v>
      </c>
      <c r="N11" s="456" t="s">
        <v>294</v>
      </c>
      <c r="O11" s="457"/>
      <c r="P11" s="457"/>
      <c r="Q11" s="457"/>
      <c r="R11" s="457"/>
      <c r="S11" s="457"/>
      <c r="T11" s="457"/>
    </row>
    <row r="12" spans="1:20" ht="19" customHeight="1">
      <c r="A12" s="208" t="s">
        <v>305</v>
      </c>
      <c r="B12" s="209" t="s">
        <v>306</v>
      </c>
      <c r="C12" s="208" t="s">
        <v>307</v>
      </c>
      <c r="D12" s="208" t="s">
        <v>308</v>
      </c>
      <c r="E12" s="208" t="s">
        <v>309</v>
      </c>
      <c r="F12" s="208" t="s">
        <v>310</v>
      </c>
      <c r="G12" s="208" t="s">
        <v>142</v>
      </c>
    </row>
    <row r="13" spans="1:20" ht="19" customHeight="1">
      <c r="A13" s="210"/>
      <c r="B13" s="211"/>
      <c r="C13" s="212"/>
      <c r="D13" s="213"/>
      <c r="E13" s="214"/>
      <c r="F13" s="215"/>
      <c r="G13" s="216"/>
    </row>
    <row r="14" spans="1:20" ht="19" customHeight="1">
      <c r="A14" s="217"/>
      <c r="B14" s="217"/>
      <c r="C14" s="217"/>
      <c r="D14" s="217"/>
      <c r="E14" s="217"/>
      <c r="F14" s="217"/>
      <c r="G14" s="217"/>
    </row>
    <row r="15" spans="1:20" ht="19" customHeight="1">
      <c r="A15" s="206" t="s">
        <v>311</v>
      </c>
    </row>
    <row r="16" spans="1:20" ht="19" customHeight="1">
      <c r="A16" s="450"/>
      <c r="B16" s="451"/>
      <c r="C16" s="451"/>
      <c r="D16" s="451"/>
      <c r="E16" s="451"/>
      <c r="F16" s="451"/>
      <c r="G16" s="452"/>
    </row>
    <row r="17" spans="1:11" ht="19" customHeight="1">
      <c r="A17" s="198" t="s">
        <v>312</v>
      </c>
    </row>
    <row r="18" spans="1:11" ht="19" customHeight="1"/>
    <row r="19" spans="1:11" ht="19" customHeight="1"/>
    <row r="20" spans="1:11" ht="19" customHeight="1"/>
    <row r="21" spans="1:11" ht="19" customHeight="1"/>
    <row r="22" spans="1:11" ht="19" customHeight="1">
      <c r="C22" s="453" t="str">
        <f>INDEX(基本信息!B:B,MATCH(有价证券函证模板!F3,基本信息!D:D,0))</f>
        <v>aiwenczl股份有限公司</v>
      </c>
      <c r="D22" s="453"/>
      <c r="E22" s="453"/>
      <c r="F22" s="453"/>
      <c r="G22" s="453"/>
    </row>
    <row r="23" spans="1:11" ht="19" customHeight="1">
      <c r="C23" s="218"/>
      <c r="D23" s="218"/>
      <c r="E23" s="238">
        <v>43481</v>
      </c>
      <c r="F23" s="238"/>
      <c r="G23" s="218"/>
      <c r="I23" s="219"/>
    </row>
    <row r="24" spans="1:11" ht="19" customHeight="1">
      <c r="A24" s="220" t="s">
        <v>313</v>
      </c>
      <c r="B24" s="221"/>
      <c r="C24" s="221"/>
      <c r="D24" s="221"/>
      <c r="E24" s="221"/>
      <c r="F24" s="221"/>
      <c r="G24" s="221"/>
      <c r="K24" s="222"/>
    </row>
    <row r="25" spans="1:11" ht="19" customHeight="1">
      <c r="A25" s="223" t="s">
        <v>314</v>
      </c>
      <c r="B25" s="224"/>
      <c r="C25" s="225"/>
      <c r="D25" s="454" t="s">
        <v>315</v>
      </c>
      <c r="E25" s="454"/>
      <c r="F25" s="454"/>
      <c r="G25" s="455"/>
    </row>
    <row r="26" spans="1:11" ht="19" customHeight="1">
      <c r="A26" s="226"/>
      <c r="B26" s="221"/>
      <c r="C26" s="227"/>
      <c r="D26" s="228"/>
      <c r="E26" s="228"/>
      <c r="F26" s="228"/>
      <c r="G26" s="229"/>
    </row>
    <row r="27" spans="1:11" ht="19" customHeight="1">
      <c r="A27" s="226"/>
      <c r="B27" s="221"/>
      <c r="C27" s="227"/>
      <c r="D27" s="228"/>
      <c r="E27" s="228"/>
      <c r="F27" s="228"/>
      <c r="G27" s="229"/>
    </row>
    <row r="28" spans="1:11" ht="19" customHeight="1">
      <c r="A28" s="226"/>
      <c r="B28" s="221"/>
      <c r="C28" s="230"/>
      <c r="D28" s="221"/>
      <c r="E28" s="221"/>
      <c r="F28" s="221"/>
      <c r="G28" s="229"/>
    </row>
    <row r="29" spans="1:11" ht="19" customHeight="1">
      <c r="A29" s="226"/>
      <c r="B29" s="221"/>
      <c r="C29" s="230"/>
      <c r="D29" s="221"/>
      <c r="E29" s="221"/>
      <c r="F29" s="221"/>
      <c r="G29" s="229"/>
    </row>
    <row r="30" spans="1:11" ht="19" customHeight="1">
      <c r="A30" s="231" t="s">
        <v>316</v>
      </c>
      <c r="B30" s="221"/>
      <c r="C30" s="232"/>
      <c r="D30" s="221"/>
      <c r="E30" s="221"/>
      <c r="F30" s="221"/>
      <c r="G30" s="229"/>
    </row>
    <row r="31" spans="1:11" ht="19" customHeight="1">
      <c r="A31" s="226"/>
      <c r="B31" s="233"/>
      <c r="C31" s="229"/>
      <c r="D31" s="221"/>
      <c r="E31" s="221"/>
      <c r="F31" s="221"/>
      <c r="G31" s="229"/>
    </row>
    <row r="32" spans="1:11" ht="19" customHeight="1">
      <c r="A32" s="231" t="s">
        <v>179</v>
      </c>
      <c r="B32" s="233"/>
      <c r="C32" s="232"/>
      <c r="D32" s="221" t="s">
        <v>179</v>
      </c>
      <c r="E32" s="221"/>
      <c r="F32" s="221"/>
      <c r="G32" s="229"/>
    </row>
    <row r="33" spans="1:7" ht="19" customHeight="1">
      <c r="A33" s="234" t="s">
        <v>317</v>
      </c>
      <c r="B33" s="235"/>
      <c r="C33" s="236"/>
      <c r="D33" s="235" t="s">
        <v>318</v>
      </c>
      <c r="E33" s="235"/>
      <c r="F33" s="235"/>
      <c r="G33" s="237"/>
    </row>
  </sheetData>
  <mergeCells count="8">
    <mergeCell ref="N11:T11"/>
    <mergeCell ref="A6:G8"/>
    <mergeCell ref="N9:T9"/>
    <mergeCell ref="A2:G2"/>
    <mergeCell ref="A9:G9"/>
    <mergeCell ref="A16:G16"/>
    <mergeCell ref="C22:G22"/>
    <mergeCell ref="D25:G25"/>
  </mergeCells>
  <phoneticPr fontId="3" type="noConversion"/>
  <pageMargins left="0.7" right="0.7" top="0.75" bottom="0.75" header="0.3" footer="0.3"/>
  <pageSetup paperSize="9" scale="7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A3D96-5BA8-4C1F-81C1-5ACB14FCE106}">
  <sheetPr codeName="Sheet4"/>
  <dimension ref="A1:M1"/>
  <sheetViews>
    <sheetView workbookViewId="0">
      <selection activeCell="E8" sqref="E8"/>
    </sheetView>
  </sheetViews>
  <sheetFormatPr defaultRowHeight="13"/>
  <cols>
    <col min="1" max="1" width="14.33203125" style="62" bestFit="1" customWidth="1"/>
    <col min="2" max="3" width="8.6640625" style="62"/>
    <col min="4" max="4" width="9.5" style="62" bestFit="1" customWidth="1"/>
    <col min="5" max="5" width="11.75" style="62" bestFit="1" customWidth="1"/>
    <col min="6" max="6" width="11.25" style="62" bestFit="1" customWidth="1"/>
    <col min="7" max="16384" width="8.6640625" style="62"/>
  </cols>
  <sheetData>
    <row r="1" spans="1:13" ht="13" customHeight="1">
      <c r="A1" s="61"/>
      <c r="B1" s="190"/>
      <c r="C1" s="191"/>
      <c r="D1" s="191"/>
      <c r="E1" s="191"/>
      <c r="F1" s="82" t="str">
        <f>HYPERLINK("#基本信息!I1","返回基本信息")</f>
        <v>返回基本信息</v>
      </c>
      <c r="G1" s="191"/>
      <c r="H1" s="82" t="str">
        <f>HYPERLINK("#操作平台!A3","返回操作平台")</f>
        <v>返回操作平台</v>
      </c>
      <c r="I1" s="191"/>
      <c r="J1" s="191"/>
      <c r="K1" s="191"/>
      <c r="L1" s="191"/>
      <c r="M1" s="191"/>
    </row>
  </sheetData>
  <phoneticPr fontId="3"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使用说明</vt:lpstr>
      <vt:lpstr>操作平台</vt:lpstr>
      <vt:lpstr>基本信息</vt:lpstr>
      <vt:lpstr>企业询证函模板</vt:lpstr>
      <vt:lpstr>银行询证函模板</vt:lpstr>
      <vt:lpstr>工程项目函证模板</vt:lpstr>
      <vt:lpstr>有价证券函证模板</vt:lpstr>
      <vt:lpstr>数据表模板</vt:lpstr>
      <vt:lpstr>工程项目函证模板!Print_Area</vt:lpstr>
      <vt:lpstr>企业询证函模板!Print_Area</vt:lpstr>
      <vt:lpstr>银行询证函模板!Print_Area</vt:lpstr>
      <vt:lpstr>有价证券函证模板!Print_Area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LC-seven</dc:creator>
  <cp:lastModifiedBy>LC</cp:lastModifiedBy>
  <cp:lastPrinted>2019-02-11T17:07:58Z</cp:lastPrinted>
  <dcterms:created xsi:type="dcterms:W3CDTF">2015-06-05T18:19:34Z</dcterms:created>
  <dcterms:modified xsi:type="dcterms:W3CDTF">2019-02-12T06:24:11Z</dcterms:modified>
</cp:coreProperties>
</file>