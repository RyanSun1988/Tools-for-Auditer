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6" codeName="{3D1A710C-6663-3D7B-7F91-EC182F24A4BC}"/>
  <workbookPr filterPrivacy="1" codeName="ThisWorkbook"/>
  <xr:revisionPtr revIDLastSave="0" documentId="13_ncr:1_{FDBF6389-552A-4807-BD12-E285F7371635}" xr6:coauthVersionLast="36" xr6:coauthVersionMax="36" xr10:uidLastSave="{00000000-0000-0000-0000-000000000000}"/>
  <bookViews>
    <workbookView xWindow="0" yWindow="0" windowWidth="22260" windowHeight="12648" activeTab="1" xr2:uid="{00000000-000D-0000-FFFF-FFFF00000000}"/>
  </bookViews>
  <sheets>
    <sheet name="控制面板" sheetId="2" r:id="rId1"/>
    <sheet name="序时账" sheetId="3" r:id="rId2"/>
    <sheet name="银行流水" sheetId="4" r:id="rId3"/>
    <sheet name="结果展示模板" sheetId="5" r:id="rId4"/>
  </sheets>
  <functionGroups builtInGroupCount="19"/>
  <definedNames>
    <definedName name="_xlnm._FilterDatabase" localSheetId="1" hidden="1">序时账!$A$1:$N$1</definedName>
    <definedName name="_xlnm._FilterDatabase" localSheetId="2" hidden="1">银行流水!$A$1:$P$1</definedName>
    <definedName name="ASC" hidden="1">#REF!</definedName>
    <definedName name="ASF" hidden="1">#REF!</definedName>
    <definedName name="ASN" hidden="1">#REF!</definedName>
    <definedName name="ASW" hidden="1">#REF!</definedName>
    <definedName name="CNC" hidden="1">TRUE</definedName>
    <definedName name="_xlnm.Database" hidden="1">#REF!</definedName>
    <definedName name="Selected" hidden="1">#REF!</definedName>
    <definedName name="SFN" hidden="1">"C:\Users\WWCHENG\Desktop\遗产\银行流水核对工具\银行流水模拟数据.xlsx"</definedName>
    <definedName name="SSC" hidden="1">#REF!</definedName>
    <definedName name="SSF" hidden="1">#REF!</definedName>
    <definedName name="SSN" hidden="1">#REF!</definedName>
    <definedName name="Theme" hidden="1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8" i="5" l="1"/>
  <c r="F18" i="5"/>
  <c r="G18" i="5"/>
  <c r="H18" i="5"/>
  <c r="I18" i="5"/>
  <c r="J18" i="5"/>
  <c r="K18" i="5"/>
  <c r="L18" i="5"/>
  <c r="M18" i="5"/>
  <c r="N18" i="5"/>
  <c r="O18" i="5"/>
  <c r="E19" i="5"/>
  <c r="F19" i="5"/>
  <c r="G19" i="5"/>
  <c r="H19" i="5"/>
  <c r="I19" i="5"/>
  <c r="J19" i="5"/>
  <c r="K19" i="5"/>
  <c r="L19" i="5"/>
  <c r="M19" i="5"/>
  <c r="N19" i="5"/>
  <c r="O19" i="5"/>
  <c r="E10" i="5"/>
  <c r="F10" i="5"/>
  <c r="G10" i="5"/>
  <c r="H10" i="5"/>
  <c r="I10" i="5"/>
  <c r="J10" i="5"/>
  <c r="K10" i="5"/>
  <c r="L10" i="5"/>
  <c r="M10" i="5"/>
  <c r="N10" i="5"/>
  <c r="O10" i="5"/>
  <c r="E11" i="5"/>
  <c r="F11" i="5"/>
  <c r="G11" i="5"/>
  <c r="H11" i="5"/>
  <c r="I11" i="5"/>
  <c r="J11" i="5"/>
  <c r="K11" i="5"/>
  <c r="L11" i="5"/>
  <c r="M11" i="5"/>
  <c r="N11" i="5"/>
  <c r="O11" i="5"/>
  <c r="D19" i="5"/>
  <c r="D18" i="5"/>
  <c r="D11" i="5"/>
  <c r="D10" i="5"/>
  <c r="P5" i="5" l="1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D1" authorId="0" shapeId="0" xr:uid="{7AA8A329-417C-42C2-B62E-DF222A4EADCB}">
      <text>
        <r>
          <rPr>
            <b/>
            <sz val="9"/>
            <color indexed="81"/>
            <rFont val="Microsoft YaHei Light"/>
            <family val="2"/>
            <charset val="134"/>
          </rPr>
          <t>双击清洗时间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H1" authorId="0" shapeId="0" xr:uid="{239F779C-8225-489B-8E5A-F6DC9221A50F}">
      <text>
        <r>
          <rPr>
            <b/>
            <sz val="9"/>
            <color indexed="81"/>
            <rFont val="Microsoft YaHei Light"/>
            <family val="2"/>
            <charset val="134"/>
          </rPr>
          <t xml:space="preserve">双击清洗金额
</t>
        </r>
      </text>
    </comment>
    <comment ref="K1" authorId="0" shapeId="0" xr:uid="{85AEB865-6867-4E8E-BE59-852C0F9B3D54}">
      <text>
        <r>
          <rPr>
            <b/>
            <sz val="9"/>
            <color indexed="81"/>
            <rFont val="Microsoft YaHei Light"/>
            <family val="2"/>
            <charset val="134"/>
          </rPr>
          <t>双击打开或取消筛选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C1" authorId="0" shapeId="0" xr:uid="{7FC09DBB-4B98-4585-B838-4117F4C7E5C1}">
      <text>
        <r>
          <rPr>
            <b/>
            <sz val="9"/>
            <color indexed="81"/>
            <rFont val="宋体"/>
            <family val="3"/>
            <charset val="134"/>
          </rPr>
          <t>双击清洗时间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F1" authorId="0" shapeId="0" xr:uid="{DA1B03A2-A7E3-4FF1-AC33-7A8933993299}">
      <text>
        <r>
          <rPr>
            <b/>
            <sz val="9"/>
            <color indexed="81"/>
            <rFont val="宋体"/>
            <family val="3"/>
            <charset val="134"/>
          </rPr>
          <t>双击清洗金额</t>
        </r>
      </text>
    </comment>
    <comment ref="M1" authorId="0" shapeId="0" xr:uid="{02811D15-2097-4600-8B88-FB8B4C74EEC6}">
      <text>
        <r>
          <rPr>
            <b/>
            <sz val="9"/>
            <color indexed="81"/>
            <rFont val="宋体"/>
            <family val="3"/>
            <charset val="134"/>
          </rPr>
          <t>双击打开或取消筛选</t>
        </r>
      </text>
    </comment>
  </commentList>
</comments>
</file>

<file path=xl/sharedStrings.xml><?xml version="1.0" encoding="utf-8"?>
<sst xmlns="http://schemas.openxmlformats.org/spreadsheetml/2006/main" count="286" uniqueCount="89">
  <si>
    <t>前</t>
    <phoneticPr fontId="2" type="noConversion"/>
  </si>
  <si>
    <t>天</t>
    <phoneticPr fontId="2" type="noConversion"/>
  </si>
  <si>
    <t>后</t>
    <phoneticPr fontId="2" type="noConversion"/>
  </si>
  <si>
    <t>账户</t>
    <phoneticPr fontId="2" type="noConversion"/>
  </si>
  <si>
    <t>科目代码</t>
    <phoneticPr fontId="2" type="noConversion"/>
  </si>
  <si>
    <t>科目名称</t>
    <phoneticPr fontId="2" type="noConversion"/>
  </si>
  <si>
    <t>日期</t>
    <phoneticPr fontId="2" type="noConversion"/>
  </si>
  <si>
    <t>凭证号</t>
    <phoneticPr fontId="2" type="noConversion"/>
  </si>
  <si>
    <t>对方户名</t>
    <phoneticPr fontId="2" type="noConversion"/>
  </si>
  <si>
    <t>摘要</t>
    <phoneticPr fontId="2" type="noConversion"/>
  </si>
  <si>
    <t>借方</t>
    <phoneticPr fontId="2" type="noConversion"/>
  </si>
  <si>
    <t>贷方</t>
    <phoneticPr fontId="2" type="noConversion"/>
  </si>
  <si>
    <t>“日期+金额”匹配结果</t>
    <phoneticPr fontId="2" type="noConversion"/>
  </si>
  <si>
    <t>核对调整</t>
  </si>
  <si>
    <t>账户001</t>
    <phoneticPr fontId="2" type="noConversion"/>
  </si>
  <si>
    <t>账户002</t>
  </si>
  <si>
    <t>账户003</t>
  </si>
  <si>
    <t>账户名称</t>
    <phoneticPr fontId="2" type="noConversion"/>
  </si>
  <si>
    <t>交易时间</t>
    <phoneticPr fontId="2" type="noConversion"/>
  </si>
  <si>
    <t>交易流水号</t>
    <phoneticPr fontId="2" type="noConversion"/>
  </si>
  <si>
    <t>对方账号</t>
    <phoneticPr fontId="2" type="noConversion"/>
  </si>
  <si>
    <t>对方开户机构</t>
    <phoneticPr fontId="2" type="noConversion"/>
  </si>
  <si>
    <t>备注</t>
    <phoneticPr fontId="2" type="noConversion"/>
  </si>
  <si>
    <t>序时账与银行流水差异核对结果明细表</t>
    <phoneticPr fontId="2" type="noConversion"/>
  </si>
  <si>
    <t>1月份</t>
  </si>
  <si>
    <t>2月份</t>
  </si>
  <si>
    <t>3月份</t>
  </si>
  <si>
    <t>4月份</t>
  </si>
  <si>
    <t>5月份</t>
  </si>
  <si>
    <t>6月份</t>
  </si>
  <si>
    <t>7月份</t>
  </si>
  <si>
    <t>8月份</t>
  </si>
  <si>
    <t>9月份</t>
  </si>
  <si>
    <t>10月份</t>
  </si>
  <si>
    <t>11月份</t>
  </si>
  <si>
    <t>12月份</t>
  </si>
  <si>
    <t>合计</t>
    <phoneticPr fontId="2" type="noConversion"/>
  </si>
  <si>
    <t>项目</t>
    <phoneticPr fontId="1" type="noConversion"/>
  </si>
  <si>
    <t>③“日期(含跨期)+对方+金额”匹配金额</t>
    <phoneticPr fontId="2" type="noConversion"/>
  </si>
  <si>
    <t>④“日期(含跨期)+金额”匹配金额</t>
    <phoneticPr fontId="2" type="noConversion"/>
  </si>
  <si>
    <t>⑤“月份金额合计”匹配金额</t>
    <phoneticPr fontId="2" type="noConversion"/>
  </si>
  <si>
    <t>⑥手工核对调整</t>
    <phoneticPr fontId="2" type="noConversion"/>
  </si>
  <si>
    <t>⑦网银流水 - 匹配数</t>
    <phoneticPr fontId="2" type="noConversion"/>
  </si>
  <si>
    <t>⑧序时账 - 匹配数</t>
    <phoneticPr fontId="2" type="noConversion"/>
  </si>
  <si>
    <t>备注</t>
    <phoneticPr fontId="1" type="noConversion"/>
  </si>
  <si>
    <t>④包含③</t>
    <phoneticPr fontId="1" type="noConversion"/>
  </si>
  <si>
    <t>①-（④+⑤+⑥）</t>
    <phoneticPr fontId="1" type="noConversion"/>
  </si>
  <si>
    <t>②-（④+⑤+⑥）</t>
    <phoneticPr fontId="1" type="noConversion"/>
  </si>
  <si>
    <t>①网银流水借方总计</t>
    <phoneticPr fontId="2" type="noConversion"/>
  </si>
  <si>
    <t>②序时账贷方总计</t>
    <phoneticPr fontId="1" type="noConversion"/>
  </si>
  <si>
    <t>①网银流水贷方总计</t>
    <phoneticPr fontId="2" type="noConversion"/>
  </si>
  <si>
    <t>②序时账借方总计</t>
    <phoneticPr fontId="1" type="noConversion"/>
  </si>
  <si>
    <t>序时账贷方</t>
    <phoneticPr fontId="2" type="noConversion"/>
  </si>
  <si>
    <t>序时账借方</t>
    <phoneticPr fontId="2" type="noConversion"/>
  </si>
  <si>
    <t>数据刷新时间：2019-07-12   20:27:31</t>
    <phoneticPr fontId="2" type="noConversion"/>
  </si>
  <si>
    <t>银行流水可跨期天数：</t>
    <phoneticPr fontId="2" type="noConversion"/>
  </si>
  <si>
    <t>格式要求：</t>
    <phoneticPr fontId="1" type="noConversion"/>
  </si>
  <si>
    <t>2、序时账和流水的时间和借贷方金额必填，对方户名可不填</t>
    <phoneticPr fontId="1" type="noConversion"/>
  </si>
  <si>
    <t>5、跨期时间要在1-31天之内</t>
    <phoneticPr fontId="1" type="noConversion"/>
  </si>
  <si>
    <t>1、序时账和流水的第一列账户必填，没有的话可以用“账户1、账户2、账户3”代替，账户必须连续，不能交叉出现，且账户名称不能超过26个字符，可用Len()函数检验</t>
    <phoneticPr fontId="1" type="noConversion"/>
  </si>
  <si>
    <t>与原版相比，有哪些修改？</t>
    <phoneticPr fontId="1" type="noConversion"/>
  </si>
  <si>
    <t>1、增加多账户核对</t>
    <phoneticPr fontId="1" type="noConversion"/>
  </si>
  <si>
    <t>3、细化核对结果展示</t>
    <phoneticPr fontId="1" type="noConversion"/>
  </si>
  <si>
    <t>6、【控制面板】、【序时账】、【银行流水】、【结果展示模板】不可删除</t>
    <phoneticPr fontId="1" type="noConversion"/>
  </si>
  <si>
    <t>使用步骤：</t>
    <phoneticPr fontId="1" type="noConversion"/>
  </si>
  <si>
    <t>将处理好格式的序时账和网银流水数据复制进来，按照按钮顺序操作即可，如果核对时，有调整可在序时账最后一列上写上“核对无误”字样，再单击刷新结果按钮</t>
    <phoneticPr fontId="1" type="noConversion"/>
  </si>
  <si>
    <t>原制作者：涂佳兵（微信公众号：逆行的狗）   修改者：王文铖 （微信公众号：15Seconds）  联系方式：w-wc@foxmail.com</t>
    <phoneticPr fontId="1" type="noConversion"/>
  </si>
  <si>
    <t>2、去除外部表格导入模块，直接复制</t>
    <phoneticPr fontId="1" type="noConversion"/>
  </si>
  <si>
    <t>4、增加核对方式(方式1：日期+对方+金额 方式2：日期+金额  方式3：月份合计  方式4：手工调整)</t>
    <phoneticPr fontId="1" type="noConversion"/>
  </si>
  <si>
    <t>5、UI修改</t>
    <phoneticPr fontId="1" type="noConversion"/>
  </si>
  <si>
    <t>4、借贷方金额中必须为数值，不能出现特殊字符，要注意减号的区分，千分隔符下的0会显示为“-”，这也算是数值格式</t>
    <phoneticPr fontId="1" type="noConversion"/>
  </si>
  <si>
    <t>3、时间必须为  yyyy-m-d 日期格式</t>
    <phoneticPr fontId="1" type="noConversion"/>
  </si>
  <si>
    <t>“日期+对方+金额”匹配结果</t>
    <phoneticPr fontId="2" type="noConversion"/>
  </si>
  <si>
    <t>白山************</t>
    <phoneticPr fontId="2" type="noConversion"/>
  </si>
  <si>
    <t>深圳**********</t>
    <phoneticPr fontId="2" type="noConversion"/>
  </si>
  <si>
    <t>广西*************</t>
    <phoneticPr fontId="2" type="noConversion"/>
  </si>
  <si>
    <t>深圳*************</t>
    <phoneticPr fontId="2" type="noConversion"/>
  </si>
  <si>
    <t>国网***************</t>
    <phoneticPr fontId="2" type="noConversion"/>
  </si>
  <si>
    <t>北京***********</t>
    <phoneticPr fontId="2" type="noConversion"/>
  </si>
  <si>
    <t>***************</t>
    <phoneticPr fontId="2" type="noConversion"/>
  </si>
  <si>
    <t>A</t>
    <phoneticPr fontId="2" type="noConversion"/>
  </si>
  <si>
    <t>B</t>
    <phoneticPr fontId="2" type="noConversion"/>
  </si>
  <si>
    <t>白山************</t>
    <phoneticPr fontId="1" type="noConversion"/>
  </si>
  <si>
    <t>深圳**********</t>
    <phoneticPr fontId="1" type="noConversion"/>
  </si>
  <si>
    <t>广西*************</t>
    <phoneticPr fontId="1" type="noConversion"/>
  </si>
  <si>
    <t>深圳*************</t>
    <phoneticPr fontId="1" type="noConversion"/>
  </si>
  <si>
    <t>国网***************</t>
    <phoneticPr fontId="1" type="noConversion"/>
  </si>
  <si>
    <t>北京***********</t>
    <phoneticPr fontId="1" type="noConversion"/>
  </si>
  <si>
    <t>*****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</si>
</sst>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 * #,##0.00_ ;_ * \-#,##0.00_ ;_ * &quot;-&quot;??_ ;_ @_ "/>
    <numFmt numFmtId="176" formatCode="0_);[Red]\(0\)"/>
    <numFmt numFmtId="177" formatCode="&quot;√&quot;;&quot;&quot;;&quot;&quot;"/>
    <numFmt numFmtId="178" formatCode="_ * #,##0.00_ ;[Red]_ * \-#,##0.00_ ;_ * &quot;-&quot;??_ ;_ @_ "/>
    <numFmt numFmtId="179" formatCode="#,##0.00_ "/>
  </numFmts>
  <fonts count="2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9"/>
      <name val="微软雅黑"/>
      <family val="2"/>
      <charset val="134"/>
    </font>
    <font>
      <sz val="12"/>
      <name val="微软雅黑"/>
      <family val="2"/>
      <charset val="134"/>
    </font>
    <font>
      <b/>
      <sz val="14"/>
      <name val="微软雅黑"/>
      <family val="2"/>
      <charset val="134"/>
    </font>
    <font>
      <b/>
      <sz val="9"/>
      <color rgb="FFFFFFFF"/>
      <name val="微软雅黑"/>
      <family val="2"/>
      <charset val="134"/>
    </font>
    <font>
      <b/>
      <sz val="9"/>
      <color theme="0" tint="-4.9989318521683403E-2"/>
      <name val="微软雅黑"/>
      <family val="2"/>
      <charset val="134"/>
    </font>
    <font>
      <sz val="9"/>
      <color rgb="FF0000FF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b/>
      <sz val="8"/>
      <color theme="0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宋体"/>
      <family val="3"/>
      <charset val="134"/>
    </font>
    <font>
      <b/>
      <sz val="22"/>
      <color theme="0"/>
      <name val="微软雅黑"/>
      <family val="2"/>
      <charset val="134"/>
    </font>
    <font>
      <sz val="14"/>
      <name val="微软雅黑"/>
      <family val="2"/>
      <charset val="134"/>
    </font>
    <font>
      <sz val="10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name val="微软雅黑"/>
      <family val="2"/>
      <charset val="134"/>
    </font>
    <font>
      <b/>
      <sz val="9"/>
      <color theme="7" tint="0.39997558519241921"/>
      <name val="微软雅黑"/>
      <family val="2"/>
      <charset val="134"/>
    </font>
    <font>
      <sz val="11"/>
      <color rgb="FF000000"/>
      <name val="等线"/>
      <family val="3"/>
      <charset val="134"/>
    </font>
    <font>
      <sz val="11"/>
      <color rgb="FFFF000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9"/>
      <color indexed="81"/>
      <name val="Microsoft YaHei Light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2" fillId="0" borderId="0" applyNumberFormat="0">
      <alignment vertical="center"/>
    </xf>
    <xf numFmtId="0" fontId="5" fillId="3" borderId="1" applyNumberFormat="0">
      <alignment horizontal="centerContinuous" vertical="center" shrinkToFit="1"/>
    </xf>
    <xf numFmtId="1" fontId="7" fillId="0" borderId="0" applyFill="0" applyBorder="0" applyProtection="0">
      <alignment horizontal="left" vertical="center" shrinkToFit="1"/>
      <protection locked="0"/>
    </xf>
    <xf numFmtId="178" fontId="2" fillId="0" borderId="0" applyFill="0" applyBorder="0" applyProtection="0">
      <alignment vertical="center" shrinkToFit="1"/>
    </xf>
    <xf numFmtId="0" fontId="12" fillId="0" borderId="0"/>
    <xf numFmtId="9" fontId="2" fillId="0" borderId="0" applyFont="0" applyFill="0" applyBorder="0" applyAlignment="0" applyProtection="0">
      <alignment vertical="center"/>
    </xf>
    <xf numFmtId="43" fontId="16" fillId="0" borderId="0" applyFont="0" applyFill="0" applyBorder="0" applyAlignment="0" applyProtection="0">
      <alignment vertical="center"/>
    </xf>
  </cellStyleXfs>
  <cellXfs count="74">
    <xf numFmtId="0" fontId="0" fillId="0" borderId="0" xfId="0"/>
    <xf numFmtId="0" fontId="3" fillId="0" borderId="0" xfId="1" applyFont="1" applyAlignment="1">
      <alignment horizontal="right" vertical="center"/>
    </xf>
    <xf numFmtId="0" fontId="4" fillId="2" borderId="0" xfId="1" applyFont="1" applyFill="1" applyAlignment="1">
      <alignment horizontal="center" vertical="center"/>
    </xf>
    <xf numFmtId="0" fontId="3" fillId="0" borderId="0" xfId="1" applyFont="1" applyAlignment="1">
      <alignment horizontal="left" vertical="center"/>
    </xf>
    <xf numFmtId="0" fontId="2" fillId="0" borderId="0" xfId="1">
      <alignment vertical="center"/>
    </xf>
    <xf numFmtId="178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" fontId="8" fillId="0" borderId="0" xfId="3" applyFont="1" applyFill="1" applyProtection="1">
      <alignment horizontal="left" vertical="center" shrinkToFit="1"/>
    </xf>
    <xf numFmtId="0" fontId="8" fillId="0" borderId="0" xfId="1" applyFont="1" applyFill="1">
      <alignment vertical="center"/>
    </xf>
    <xf numFmtId="14" fontId="8" fillId="0" borderId="0" xfId="1" applyNumberFormat="1" applyFont="1" applyFill="1" applyAlignment="1">
      <alignment horizontal="center" vertical="center"/>
    </xf>
    <xf numFmtId="176" fontId="8" fillId="0" borderId="0" xfId="1" applyNumberFormat="1" applyFont="1" applyFill="1">
      <alignment vertical="center"/>
    </xf>
    <xf numFmtId="178" fontId="8" fillId="0" borderId="0" xfId="4" applyFont="1" applyFill="1" applyAlignment="1">
      <alignment vertical="center"/>
    </xf>
    <xf numFmtId="177" fontId="9" fillId="0" borderId="0" xfId="1" applyNumberFormat="1" applyFont="1" applyFill="1" applyAlignment="1">
      <alignment horizontal="center" vertical="center"/>
    </xf>
    <xf numFmtId="178" fontId="8" fillId="0" borderId="0" xfId="4" applyFont="1" applyFill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178" fontId="0" fillId="0" borderId="0" xfId="4" applyFont="1" applyAlignment="1">
      <alignment vertical="center"/>
    </xf>
    <xf numFmtId="49" fontId="0" fillId="0" borderId="0" xfId="4" applyNumberFormat="1" applyFont="1" applyAlignment="1">
      <alignment vertical="center"/>
    </xf>
    <xf numFmtId="177" fontId="11" fillId="0" borderId="0" xfId="1" applyNumberFormat="1" applyFont="1" applyAlignment="1">
      <alignment horizontal="center" vertical="center"/>
    </xf>
    <xf numFmtId="0" fontId="2" fillId="0" borderId="0" xfId="1" applyFill="1">
      <alignment vertical="center"/>
    </xf>
    <xf numFmtId="49" fontId="0" fillId="0" borderId="0" xfId="4" applyNumberFormat="1" applyFont="1" applyFill="1" applyAlignment="1">
      <alignment vertical="center"/>
    </xf>
    <xf numFmtId="177" fontId="11" fillId="0" borderId="0" xfId="1" applyNumberFormat="1" applyFont="1" applyFill="1" applyAlignment="1">
      <alignment horizontal="center" vertical="center"/>
    </xf>
    <xf numFmtId="1" fontId="7" fillId="0" borderId="0" xfId="3" applyProtection="1">
      <alignment horizontal="left" vertical="center" shrinkToFit="1"/>
    </xf>
    <xf numFmtId="0" fontId="2" fillId="0" borderId="0" xfId="1" applyFill="1" applyBorder="1">
      <alignment vertical="center"/>
    </xf>
    <xf numFmtId="0" fontId="14" fillId="0" borderId="0" xfId="4" applyNumberFormat="1" applyFont="1" applyFill="1" applyBorder="1">
      <alignment vertical="center" shrinkToFit="1"/>
    </xf>
    <xf numFmtId="0" fontId="3" fillId="0" borderId="0" xfId="4" applyNumberFormat="1" applyFont="1" applyFill="1" applyBorder="1">
      <alignment vertical="center" shrinkToFit="1"/>
    </xf>
    <xf numFmtId="0" fontId="15" fillId="0" borderId="0" xfId="1" applyFont="1" applyFill="1" applyBorder="1">
      <alignment vertical="center"/>
    </xf>
    <xf numFmtId="0" fontId="15" fillId="0" borderId="2" xfId="1" applyFont="1" applyFill="1" applyBorder="1" applyAlignment="1">
      <alignment horizontal="center" vertical="center"/>
    </xf>
    <xf numFmtId="0" fontId="15" fillId="0" borderId="2" xfId="1" applyFont="1" applyFill="1" applyBorder="1" applyAlignment="1">
      <alignment horizontal="left" vertical="center" wrapText="1"/>
    </xf>
    <xf numFmtId="10" fontId="15" fillId="0" borderId="0" xfId="1" applyNumberFormat="1" applyFont="1" applyFill="1" applyBorder="1">
      <alignment vertical="center"/>
    </xf>
    <xf numFmtId="0" fontId="2" fillId="0" borderId="0" xfId="1" applyFill="1" applyBorder="1" applyAlignment="1">
      <alignment horizontal="left" vertical="center"/>
    </xf>
    <xf numFmtId="178" fontId="2" fillId="0" borderId="0" xfId="4" applyFill="1" applyBorder="1">
      <alignment vertical="center" shrinkToFit="1"/>
    </xf>
    <xf numFmtId="10" fontId="2" fillId="0" borderId="0" xfId="6" applyNumberFormat="1" applyFill="1" applyBorder="1" applyAlignment="1">
      <alignment vertical="center" shrinkToFit="1"/>
    </xf>
    <xf numFmtId="10" fontId="2" fillId="0" borderId="0" xfId="4" applyNumberFormat="1" applyFill="1" applyBorder="1">
      <alignment vertical="center" shrinkToFit="1"/>
    </xf>
    <xf numFmtId="0" fontId="15" fillId="4" borderId="2" xfId="1" applyFont="1" applyFill="1" applyBorder="1" applyAlignment="1">
      <alignment horizontal="left" vertical="center" wrapText="1"/>
    </xf>
    <xf numFmtId="178" fontId="15" fillId="0" borderId="2" xfId="4" applyFont="1" applyFill="1" applyBorder="1" applyAlignment="1">
      <alignment horizontal="center" vertical="center" shrinkToFit="1"/>
    </xf>
    <xf numFmtId="178" fontId="15" fillId="4" borderId="2" xfId="4" applyFont="1" applyFill="1" applyBorder="1" applyAlignment="1">
      <alignment horizontal="center" vertical="center" shrinkToFit="1"/>
    </xf>
    <xf numFmtId="0" fontId="15" fillId="0" borderId="0" xfId="1" applyFont="1" applyFill="1" applyBorder="1" applyAlignment="1">
      <alignment horizontal="center" vertical="center"/>
    </xf>
    <xf numFmtId="43" fontId="15" fillId="0" borderId="2" xfId="7" applyFont="1" applyFill="1" applyBorder="1" applyAlignment="1">
      <alignment vertical="center" shrinkToFit="1"/>
    </xf>
    <xf numFmtId="43" fontId="15" fillId="4" borderId="2" xfId="7" applyFont="1" applyFill="1" applyBorder="1" applyAlignment="1">
      <alignment vertical="center" shrinkToFit="1"/>
    </xf>
    <xf numFmtId="1" fontId="5" fillId="5" borderId="1" xfId="2" applyNumberFormat="1" applyFill="1" applyAlignment="1">
      <alignment horizontal="center" vertical="center" shrinkToFit="1"/>
    </xf>
    <xf numFmtId="176" fontId="5" fillId="5" borderId="1" xfId="2" applyNumberFormat="1" applyFill="1" applyAlignment="1">
      <alignment horizontal="center" vertical="center" shrinkToFit="1"/>
    </xf>
    <xf numFmtId="177" fontId="6" fillId="5" borderId="1" xfId="2" applyNumberFormat="1" applyFont="1" applyFill="1" applyAlignment="1">
      <alignment horizontal="center" vertical="center" wrapText="1" shrinkToFit="1"/>
    </xf>
    <xf numFmtId="177" fontId="5" fillId="5" borderId="1" xfId="2" applyNumberFormat="1" applyFill="1" applyAlignment="1">
      <alignment horizontal="center" vertical="center" wrapText="1" shrinkToFit="1"/>
    </xf>
    <xf numFmtId="49" fontId="5" fillId="5" borderId="1" xfId="2" applyNumberFormat="1" applyFill="1" applyAlignment="1">
      <alignment horizontal="center" vertical="center" shrinkToFit="1"/>
    </xf>
    <xf numFmtId="177" fontId="10" fillId="5" borderId="1" xfId="2" applyNumberFormat="1" applyFont="1" applyFill="1" applyAlignment="1">
      <alignment horizontal="center" vertical="center" wrapText="1" shrinkToFit="1"/>
    </xf>
    <xf numFmtId="1" fontId="18" fillId="5" borderId="1" xfId="2" applyNumberFormat="1" applyFont="1" applyFill="1" applyAlignment="1">
      <alignment horizontal="center" vertical="center" shrinkToFit="1"/>
    </xf>
    <xf numFmtId="0" fontId="15" fillId="0" borderId="2" xfId="1" applyFont="1" applyFill="1" applyBorder="1" applyAlignment="1">
      <alignment horizontal="center" vertical="center" wrapText="1"/>
    </xf>
    <xf numFmtId="0" fontId="15" fillId="4" borderId="2" xfId="1" applyFont="1" applyFill="1" applyBorder="1" applyAlignment="1">
      <alignment horizontal="center" vertical="center" wrapText="1"/>
    </xf>
    <xf numFmtId="0" fontId="2" fillId="0" borderId="0" xfId="1" applyFill="1" applyBorder="1" applyAlignment="1">
      <alignment horizontal="center" vertical="center"/>
    </xf>
    <xf numFmtId="0" fontId="17" fillId="0" borderId="0" xfId="1" applyFont="1">
      <alignment vertical="center"/>
    </xf>
    <xf numFmtId="14" fontId="2" fillId="0" borderId="0" xfId="1" applyNumberFormat="1" applyFill="1" applyAlignment="1">
      <alignment horizontal="center" vertical="center"/>
    </xf>
    <xf numFmtId="0" fontId="2" fillId="0" borderId="0" xfId="1" applyFill="1" applyAlignment="1">
      <alignment horizontal="center" vertical="center"/>
    </xf>
    <xf numFmtId="0" fontId="20" fillId="0" borderId="0" xfId="1" applyFont="1">
      <alignment vertical="center"/>
    </xf>
    <xf numFmtId="0" fontId="2" fillId="4" borderId="0" xfId="1" applyFill="1">
      <alignment vertical="center"/>
    </xf>
    <xf numFmtId="1" fontId="8" fillId="4" borderId="0" xfId="3" applyFont="1" applyFill="1" applyProtection="1">
      <alignment horizontal="left" vertical="center" shrinkToFit="1"/>
    </xf>
    <xf numFmtId="0" fontId="8" fillId="4" borderId="0" xfId="1" applyFont="1" applyFill="1">
      <alignment vertical="center"/>
    </xf>
    <xf numFmtId="14" fontId="8" fillId="4" borderId="0" xfId="1" applyNumberFormat="1" applyFont="1" applyFill="1" applyAlignment="1">
      <alignment horizontal="center" vertical="center"/>
    </xf>
    <xf numFmtId="178" fontId="8" fillId="4" borderId="0" xfId="4" applyFont="1" applyFill="1" applyAlignment="1">
      <alignment vertical="center"/>
    </xf>
    <xf numFmtId="177" fontId="9" fillId="4" borderId="0" xfId="1" applyNumberFormat="1" applyFont="1" applyFill="1" applyAlignment="1">
      <alignment horizontal="center" vertical="center"/>
    </xf>
    <xf numFmtId="178" fontId="8" fillId="4" borderId="0" xfId="4" applyFont="1" applyFill="1" applyAlignment="1">
      <alignment horizontal="center" vertical="center"/>
    </xf>
    <xf numFmtId="14" fontId="2" fillId="4" borderId="0" xfId="1" applyNumberFormat="1" applyFill="1" applyAlignment="1">
      <alignment horizontal="center" vertical="center"/>
    </xf>
    <xf numFmtId="49" fontId="0" fillId="4" borderId="0" xfId="4" applyNumberFormat="1" applyFont="1" applyFill="1" applyAlignment="1">
      <alignment vertical="center"/>
    </xf>
    <xf numFmtId="177" fontId="11" fillId="4" borderId="0" xfId="1" applyNumberFormat="1" applyFont="1" applyFill="1" applyAlignment="1">
      <alignment horizontal="center" vertical="center"/>
    </xf>
    <xf numFmtId="14" fontId="2" fillId="0" borderId="0" xfId="1" quotePrefix="1" applyNumberFormat="1" applyAlignment="1">
      <alignment horizontal="center" vertical="center"/>
    </xf>
    <xf numFmtId="49" fontId="2" fillId="0" borderId="0" xfId="1" applyNumberFormat="1" applyAlignment="1">
      <alignment horizontal="left" vertical="center"/>
    </xf>
    <xf numFmtId="49" fontId="2" fillId="0" borderId="0" xfId="1" applyNumberFormat="1" applyFill="1" applyAlignment="1">
      <alignment horizontal="left" vertical="center"/>
    </xf>
    <xf numFmtId="49" fontId="2" fillId="4" borderId="0" xfId="1" applyNumberFormat="1" applyFill="1" applyAlignment="1">
      <alignment horizontal="left" vertical="center"/>
    </xf>
    <xf numFmtId="49" fontId="8" fillId="0" borderId="0" xfId="1" applyNumberFormat="1" applyFont="1" applyFill="1">
      <alignment vertical="center"/>
    </xf>
    <xf numFmtId="49" fontId="8" fillId="4" borderId="0" xfId="1" applyNumberFormat="1" applyFont="1" applyFill="1">
      <alignment vertical="center"/>
    </xf>
    <xf numFmtId="179" fontId="13" fillId="5" borderId="2" xfId="5" applyNumberFormat="1" applyFont="1" applyFill="1" applyBorder="1" applyAlignment="1">
      <alignment horizontal="center" vertical="center"/>
    </xf>
    <xf numFmtId="179" fontId="14" fillId="0" borderId="2" xfId="5" applyNumberFormat="1" applyFont="1" applyFill="1" applyBorder="1" applyAlignment="1">
      <alignment horizontal="left" vertical="center"/>
    </xf>
    <xf numFmtId="0" fontId="14" fillId="0" borderId="3" xfId="1" applyFont="1" applyFill="1" applyBorder="1" applyAlignment="1">
      <alignment horizontal="center" vertical="center" textRotation="255"/>
    </xf>
    <xf numFmtId="0" fontId="14" fillId="0" borderId="4" xfId="1" applyFont="1" applyFill="1" applyBorder="1" applyAlignment="1">
      <alignment horizontal="center" vertical="center" textRotation="255"/>
    </xf>
    <xf numFmtId="0" fontId="14" fillId="0" borderId="5" xfId="1" applyFont="1" applyFill="1" applyBorder="1" applyAlignment="1">
      <alignment horizontal="center" vertical="center" textRotation="255"/>
    </xf>
  </cellXfs>
  <cellStyles count="8">
    <cellStyle name="百分比 2" xfId="6" xr:uid="{ADBE3772-EA59-406D-8A76-71E6990A239F}"/>
    <cellStyle name="表头" xfId="2" xr:uid="{77E06348-CBF0-4FAF-8B61-CF15B0FA0441}"/>
    <cellStyle name="常规" xfId="0" builtinId="0"/>
    <cellStyle name="常规 2" xfId="1" xr:uid="{8DD5EE9A-EE68-462A-A3B2-80298D21D99F}"/>
    <cellStyle name="常规_控制测试底稿" xfId="5" xr:uid="{66AA0871-756B-4EF6-85EA-A131C5E177F2}"/>
    <cellStyle name="代码" xfId="3" xr:uid="{C61C82ED-5180-40ED-A780-4DCF02485F19}"/>
    <cellStyle name="千位分隔" xfId="7" builtinId="3"/>
    <cellStyle name="千位分隔 2" xfId="4" xr:uid="{27D0034B-4554-4AD8-AEBA-08358211CDA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99060</xdr:rowOff>
        </xdr:from>
        <xdr:to>
          <xdr:col>5</xdr:col>
          <xdr:colOff>38100</xdr:colOff>
          <xdr:row>4</xdr:row>
          <xdr:rowOff>30480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开始核对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312420</xdr:colOff>
          <xdr:row>2</xdr:row>
          <xdr:rowOff>99060</xdr:rowOff>
        </xdr:from>
        <xdr:to>
          <xdr:col>7</xdr:col>
          <xdr:colOff>350520</xdr:colOff>
          <xdr:row>4</xdr:row>
          <xdr:rowOff>30480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展示(刷新)结果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129540</xdr:colOff>
          <xdr:row>2</xdr:row>
          <xdr:rowOff>99060</xdr:rowOff>
        </xdr:from>
        <xdr:to>
          <xdr:col>2</xdr:col>
          <xdr:colOff>365760</xdr:colOff>
          <xdr:row>4</xdr:row>
          <xdr:rowOff>30480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格式校检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82F54-4278-41A1-BFCA-EACE0827BC8C}">
  <sheetPr codeName="Sheet1">
    <tabColor indexed="13"/>
  </sheetPr>
  <dimension ref="A1:H27"/>
  <sheetViews>
    <sheetView workbookViewId="0">
      <selection activeCell="G13" sqref="G13"/>
    </sheetView>
  </sheetViews>
  <sheetFormatPr defaultRowHeight="13.2" x14ac:dyDescent="0.25"/>
  <cols>
    <col min="1" max="1" width="8.88671875" style="4"/>
    <col min="2" max="2" width="14.88671875" style="4" customWidth="1"/>
    <col min="3" max="16384" width="8.88671875" style="4"/>
  </cols>
  <sheetData>
    <row r="1" spans="1:8" ht="18" customHeight="1" x14ac:dyDescent="0.25">
      <c r="B1" s="1" t="s">
        <v>55</v>
      </c>
      <c r="C1" s="1" t="s">
        <v>0</v>
      </c>
      <c r="D1" s="2">
        <v>3</v>
      </c>
      <c r="E1" s="3" t="s">
        <v>1</v>
      </c>
      <c r="F1" s="1" t="s">
        <v>2</v>
      </c>
      <c r="G1" s="2">
        <v>3</v>
      </c>
      <c r="H1" s="3" t="s">
        <v>1</v>
      </c>
    </row>
    <row r="2" spans="1:8" ht="18" customHeight="1" x14ac:dyDescent="0.25"/>
    <row r="3" spans="1:8" ht="18" customHeight="1" x14ac:dyDescent="0.25"/>
    <row r="4" spans="1:8" ht="18" customHeight="1" x14ac:dyDescent="0.25"/>
    <row r="5" spans="1:8" ht="18" customHeight="1" x14ac:dyDescent="0.25"/>
    <row r="6" spans="1:8" ht="18" customHeight="1" x14ac:dyDescent="0.25"/>
    <row r="7" spans="1:8" ht="18" customHeight="1" x14ac:dyDescent="0.25">
      <c r="A7" s="52" t="s">
        <v>64</v>
      </c>
    </row>
    <row r="8" spans="1:8" ht="18" customHeight="1" x14ac:dyDescent="0.25">
      <c r="A8" s="49" t="s">
        <v>65</v>
      </c>
    </row>
    <row r="9" spans="1:8" ht="18" customHeight="1" x14ac:dyDescent="0.25"/>
    <row r="10" spans="1:8" s="49" customFormat="1" ht="18" customHeight="1" x14ac:dyDescent="0.25">
      <c r="A10" s="52" t="s">
        <v>56</v>
      </c>
    </row>
    <row r="11" spans="1:8" s="49" customFormat="1" ht="18" customHeight="1" x14ac:dyDescent="0.25">
      <c r="A11" s="49" t="s">
        <v>59</v>
      </c>
    </row>
    <row r="12" spans="1:8" s="49" customFormat="1" ht="18" customHeight="1" x14ac:dyDescent="0.25">
      <c r="A12" s="49" t="s">
        <v>57</v>
      </c>
    </row>
    <row r="13" spans="1:8" s="49" customFormat="1" ht="18" customHeight="1" x14ac:dyDescent="0.25">
      <c r="A13" s="49" t="s">
        <v>71</v>
      </c>
    </row>
    <row r="14" spans="1:8" s="49" customFormat="1" ht="18" customHeight="1" x14ac:dyDescent="0.25">
      <c r="A14" s="49" t="s">
        <v>70</v>
      </c>
    </row>
    <row r="15" spans="1:8" s="49" customFormat="1" ht="18" customHeight="1" x14ac:dyDescent="0.25">
      <c r="A15" s="49" t="s">
        <v>58</v>
      </c>
    </row>
    <row r="16" spans="1:8" s="49" customFormat="1" ht="18" customHeight="1" x14ac:dyDescent="0.25">
      <c r="A16" s="49" t="s">
        <v>63</v>
      </c>
    </row>
    <row r="17" spans="1:4" ht="18" customHeight="1" x14ac:dyDescent="0.25"/>
    <row r="18" spans="1:4" s="49" customFormat="1" ht="18" customHeight="1" x14ac:dyDescent="0.25">
      <c r="A18" s="52" t="s">
        <v>60</v>
      </c>
      <c r="D18" s="49" t="s">
        <v>66</v>
      </c>
    </row>
    <row r="19" spans="1:4" s="49" customFormat="1" ht="18" customHeight="1" x14ac:dyDescent="0.25">
      <c r="A19" s="49" t="s">
        <v>61</v>
      </c>
    </row>
    <row r="20" spans="1:4" s="49" customFormat="1" ht="18" customHeight="1" x14ac:dyDescent="0.25">
      <c r="A20" s="49" t="s">
        <v>67</v>
      </c>
    </row>
    <row r="21" spans="1:4" s="49" customFormat="1" ht="18" customHeight="1" x14ac:dyDescent="0.25">
      <c r="A21" s="49" t="s">
        <v>62</v>
      </c>
    </row>
    <row r="22" spans="1:4" s="49" customFormat="1" ht="18" customHeight="1" x14ac:dyDescent="0.25">
      <c r="A22" s="49" t="s">
        <v>68</v>
      </c>
    </row>
    <row r="23" spans="1:4" s="49" customFormat="1" ht="18" customHeight="1" x14ac:dyDescent="0.25">
      <c r="A23" s="49" t="s">
        <v>69</v>
      </c>
    </row>
    <row r="24" spans="1:4" ht="18" customHeight="1" x14ac:dyDescent="0.25"/>
    <row r="25" spans="1:4" ht="18" customHeight="1" x14ac:dyDescent="0.25"/>
    <row r="26" spans="1:4" ht="18" customHeight="1" x14ac:dyDescent="0.25"/>
    <row r="27" spans="1:4" ht="18" customHeight="1" x14ac:dyDescent="0.2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heckMain">
                <anchor moveWithCells="1">
                  <from>
                    <xdr:col>3</xdr:col>
                    <xdr:colOff>0</xdr:colOff>
                    <xdr:row>2</xdr:row>
                    <xdr:rowOff>99060</xdr:rowOff>
                  </from>
                  <to>
                    <xdr:col>5</xdr:col>
                    <xdr:colOff>38100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DispalyMain">
                <anchor moveWithCells="1">
                  <from>
                    <xdr:col>5</xdr:col>
                    <xdr:colOff>312420</xdr:colOff>
                    <xdr:row>2</xdr:row>
                    <xdr:rowOff>99060</xdr:rowOff>
                  </from>
                  <to>
                    <xdr:col>7</xdr:col>
                    <xdr:colOff>350520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ForamtCheckMain">
                <anchor moveWithCells="1">
                  <from>
                    <xdr:col>1</xdr:col>
                    <xdr:colOff>129540</xdr:colOff>
                    <xdr:row>2</xdr:row>
                    <xdr:rowOff>99060</xdr:rowOff>
                  </from>
                  <to>
                    <xdr:col>2</xdr:col>
                    <xdr:colOff>365760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D213D-D10E-4961-BA28-EB1F2A28AD89}">
  <sheetPr codeName="Sheet2">
    <tabColor indexed="13"/>
    <pageSetUpPr fitToPage="1"/>
  </sheetPr>
  <dimension ref="A1:N67"/>
  <sheetViews>
    <sheetView tabSelected="1" zoomScaleNormal="100" workbookViewId="0">
      <pane ySplit="1" topLeftCell="A2" activePane="bottomLeft" state="frozen"/>
      <selection activeCell="K16" sqref="K16"/>
      <selection pane="bottomLeft" activeCell="N7" sqref="N7"/>
    </sheetView>
  </sheetViews>
  <sheetFormatPr defaultColWidth="13.6640625" defaultRowHeight="15" customHeight="1" x14ac:dyDescent="0.25"/>
  <cols>
    <col min="1" max="1" width="8.109375" style="4" bestFit="1" customWidth="1"/>
    <col min="2" max="2" width="8.33203125" style="7" bestFit="1" customWidth="1"/>
    <col min="3" max="3" width="8.33203125" style="8" bestFit="1" customWidth="1"/>
    <col min="4" max="4" width="10.44140625" style="9" bestFit="1" customWidth="1"/>
    <col min="5" max="5" width="8.77734375" style="67" customWidth="1"/>
    <col min="6" max="6" width="17.33203125" style="10" bestFit="1" customWidth="1"/>
    <col min="7" max="7" width="8.6640625" style="8" customWidth="1"/>
    <col min="8" max="8" width="13.44140625" style="11" bestFit="1" customWidth="1"/>
    <col min="9" max="9" width="14.6640625" style="11" bestFit="1" customWidth="1"/>
    <col min="10" max="10" width="13.6640625" style="12" bestFit="1" customWidth="1"/>
    <col min="11" max="11" width="13.33203125" style="12" customWidth="1"/>
    <col min="12" max="12" width="8.33203125" style="4" bestFit="1" customWidth="1"/>
    <col min="13" max="14" width="6.33203125" style="6" customWidth="1"/>
    <col min="15" max="16384" width="13.6640625" style="4"/>
  </cols>
  <sheetData>
    <row r="1" spans="1:13" s="6" customFormat="1" ht="28.2" customHeight="1" x14ac:dyDescent="0.25">
      <c r="A1" s="45" t="s">
        <v>3</v>
      </c>
      <c r="B1" s="39" t="s">
        <v>4</v>
      </c>
      <c r="C1" s="40" t="s">
        <v>5</v>
      </c>
      <c r="D1" s="45" t="s">
        <v>6</v>
      </c>
      <c r="E1" s="43" t="s">
        <v>7</v>
      </c>
      <c r="F1" s="39" t="s">
        <v>8</v>
      </c>
      <c r="G1" s="40" t="s">
        <v>9</v>
      </c>
      <c r="H1" s="45" t="s">
        <v>10</v>
      </c>
      <c r="I1" s="45" t="s">
        <v>11</v>
      </c>
      <c r="J1" s="41" t="s">
        <v>72</v>
      </c>
      <c r="K1" s="41" t="s">
        <v>12</v>
      </c>
      <c r="L1" s="42" t="s">
        <v>13</v>
      </c>
      <c r="M1" s="5"/>
    </row>
    <row r="2" spans="1:13" ht="15" customHeight="1" x14ac:dyDescent="0.25">
      <c r="A2" s="4" t="s">
        <v>14</v>
      </c>
      <c r="D2" s="9">
        <v>42750</v>
      </c>
      <c r="F2" s="8" t="s">
        <v>73</v>
      </c>
      <c r="H2" s="11">
        <v>5241602.82</v>
      </c>
    </row>
    <row r="3" spans="1:13" ht="15" customHeight="1" x14ac:dyDescent="0.25">
      <c r="A3" s="4" t="s">
        <v>14</v>
      </c>
      <c r="D3" s="9">
        <v>42750</v>
      </c>
      <c r="F3" s="8" t="s">
        <v>74</v>
      </c>
      <c r="H3" s="11">
        <v>2785457.5</v>
      </c>
    </row>
    <row r="4" spans="1:13" ht="15" customHeight="1" x14ac:dyDescent="0.25">
      <c r="A4" s="4" t="s">
        <v>14</v>
      </c>
      <c r="D4" s="9">
        <v>42750</v>
      </c>
      <c r="F4" s="8" t="s">
        <v>75</v>
      </c>
      <c r="H4" s="11">
        <v>2022590</v>
      </c>
    </row>
    <row r="5" spans="1:13" ht="15" customHeight="1" x14ac:dyDescent="0.25">
      <c r="A5" s="4" t="s">
        <v>14</v>
      </c>
      <c r="D5" s="9">
        <v>42750</v>
      </c>
      <c r="F5" s="8" t="s">
        <v>76</v>
      </c>
      <c r="H5" s="11">
        <v>1875125</v>
      </c>
    </row>
    <row r="6" spans="1:13" ht="15" customHeight="1" x14ac:dyDescent="0.25">
      <c r="A6" s="4" t="s">
        <v>14</v>
      </c>
      <c r="D6" s="9">
        <v>42750</v>
      </c>
      <c r="F6" s="8" t="s">
        <v>77</v>
      </c>
      <c r="H6" s="11">
        <v>1592569.55</v>
      </c>
    </row>
    <row r="7" spans="1:13" ht="15" customHeight="1" x14ac:dyDescent="0.25">
      <c r="A7" s="4" t="s">
        <v>14</v>
      </c>
      <c r="D7" s="9">
        <v>42750</v>
      </c>
      <c r="F7" s="8" t="s">
        <v>78</v>
      </c>
      <c r="H7" s="11">
        <v>1020000</v>
      </c>
    </row>
    <row r="8" spans="1:13" ht="15" customHeight="1" x14ac:dyDescent="0.25">
      <c r="A8" s="4" t="s">
        <v>14</v>
      </c>
      <c r="D8" s="9">
        <v>42809</v>
      </c>
      <c r="F8" s="8"/>
      <c r="H8" s="13"/>
      <c r="I8" s="11">
        <v>5441604.8399999999</v>
      </c>
    </row>
    <row r="9" spans="1:13" ht="15" customHeight="1" x14ac:dyDescent="0.25">
      <c r="A9" s="4" t="s">
        <v>14</v>
      </c>
      <c r="D9" s="9">
        <v>42809</v>
      </c>
      <c r="F9" s="8" t="s">
        <v>74</v>
      </c>
      <c r="H9" s="13"/>
      <c r="I9" s="11">
        <v>4785457.5</v>
      </c>
    </row>
    <row r="10" spans="1:13" ht="15" customHeight="1" x14ac:dyDescent="0.25">
      <c r="A10" s="4" t="s">
        <v>14</v>
      </c>
      <c r="D10" s="9">
        <v>42809</v>
      </c>
      <c r="F10" s="8" t="s">
        <v>75</v>
      </c>
      <c r="I10" s="11">
        <v>2721467</v>
      </c>
    </row>
    <row r="11" spans="1:13" ht="15" customHeight="1" x14ac:dyDescent="0.25">
      <c r="A11" s="4" t="s">
        <v>14</v>
      </c>
      <c r="D11" s="9">
        <v>42809</v>
      </c>
      <c r="F11" s="8"/>
      <c r="I11" s="11">
        <v>1875145</v>
      </c>
    </row>
    <row r="12" spans="1:13" ht="15" customHeight="1" x14ac:dyDescent="0.25">
      <c r="A12" s="4" t="s">
        <v>14</v>
      </c>
      <c r="D12" s="9">
        <v>42809</v>
      </c>
      <c r="F12" s="8" t="s">
        <v>77</v>
      </c>
      <c r="I12" s="11">
        <v>1594569.55</v>
      </c>
    </row>
    <row r="13" spans="1:13" ht="15" customHeight="1" x14ac:dyDescent="0.25">
      <c r="A13" s="4" t="s">
        <v>14</v>
      </c>
      <c r="D13" s="9">
        <v>42809</v>
      </c>
      <c r="F13" s="8" t="s">
        <v>75</v>
      </c>
      <c r="I13" s="11">
        <v>1323123</v>
      </c>
    </row>
    <row r="14" spans="1:13" ht="15" customHeight="1" x14ac:dyDescent="0.25">
      <c r="A14" s="4" t="s">
        <v>14</v>
      </c>
      <c r="D14" s="9">
        <v>42809</v>
      </c>
      <c r="F14" s="8" t="s">
        <v>78</v>
      </c>
      <c r="I14" s="11">
        <v>1040000</v>
      </c>
    </row>
    <row r="15" spans="1:13" ht="15" customHeight="1" x14ac:dyDescent="0.25">
      <c r="A15" s="4" t="s">
        <v>14</v>
      </c>
      <c r="D15" s="9">
        <v>42809</v>
      </c>
      <c r="F15" s="8" t="s">
        <v>79</v>
      </c>
      <c r="I15" s="11">
        <v>199999</v>
      </c>
    </row>
    <row r="16" spans="1:13" ht="15" customHeight="1" x14ac:dyDescent="0.25">
      <c r="A16" s="4" t="s">
        <v>14</v>
      </c>
      <c r="D16" s="9">
        <v>42809</v>
      </c>
      <c r="F16" s="8"/>
      <c r="I16" s="11">
        <v>789</v>
      </c>
    </row>
    <row r="17" spans="1:14" ht="15" customHeight="1" x14ac:dyDescent="0.25">
      <c r="A17" s="4" t="s">
        <v>14</v>
      </c>
      <c r="D17" s="9">
        <v>42809</v>
      </c>
      <c r="F17" s="8"/>
      <c r="I17" s="11">
        <v>456</v>
      </c>
    </row>
    <row r="18" spans="1:14" ht="15" customHeight="1" x14ac:dyDescent="0.25">
      <c r="A18" s="4" t="s">
        <v>14</v>
      </c>
      <c r="D18" s="9">
        <v>42809</v>
      </c>
      <c r="F18" s="8"/>
      <c r="I18" s="11">
        <v>123</v>
      </c>
    </row>
    <row r="19" spans="1:14" s="18" customFormat="1" ht="15" customHeight="1" x14ac:dyDescent="0.25">
      <c r="A19" s="18" t="s">
        <v>14</v>
      </c>
      <c r="B19" s="7"/>
      <c r="C19" s="8"/>
      <c r="D19" s="9">
        <v>42809</v>
      </c>
      <c r="E19" s="67"/>
      <c r="F19" s="8" t="s">
        <v>79</v>
      </c>
      <c r="G19" s="8"/>
      <c r="H19" s="11"/>
      <c r="I19" s="11">
        <v>-199999</v>
      </c>
      <c r="J19" s="12"/>
      <c r="K19" s="12"/>
      <c r="N19" s="51"/>
    </row>
    <row r="20" spans="1:14" s="18" customFormat="1" ht="15" customHeight="1" x14ac:dyDescent="0.25">
      <c r="A20" s="18" t="s">
        <v>14</v>
      </c>
      <c r="B20" s="7"/>
      <c r="C20" s="8"/>
      <c r="D20" s="9">
        <v>42840</v>
      </c>
      <c r="E20" s="67"/>
      <c r="F20" s="8"/>
      <c r="G20" s="8"/>
      <c r="H20" s="11"/>
      <c r="I20" s="11">
        <v>63464363</v>
      </c>
      <c r="J20" s="12"/>
      <c r="K20" s="12"/>
      <c r="N20" s="51"/>
    </row>
    <row r="21" spans="1:14" s="18" customFormat="1" ht="15" customHeight="1" x14ac:dyDescent="0.25">
      <c r="A21" s="18" t="s">
        <v>14</v>
      </c>
      <c r="B21" s="7"/>
      <c r="C21" s="8"/>
      <c r="D21" s="9">
        <v>42840</v>
      </c>
      <c r="E21" s="67"/>
      <c r="F21" s="8" t="s">
        <v>80</v>
      </c>
      <c r="G21" s="8"/>
      <c r="H21" s="11"/>
      <c r="I21" s="11">
        <v>2000789</v>
      </c>
      <c r="J21" s="12"/>
      <c r="K21" s="12"/>
      <c r="N21" s="51"/>
    </row>
    <row r="22" spans="1:14" s="18" customFormat="1" ht="15" customHeight="1" x14ac:dyDescent="0.25">
      <c r="A22" s="18" t="s">
        <v>14</v>
      </c>
      <c r="B22" s="7"/>
      <c r="C22" s="8"/>
      <c r="D22" s="9">
        <v>42840</v>
      </c>
      <c r="E22" s="67"/>
      <c r="F22" s="8"/>
      <c r="G22" s="8"/>
      <c r="H22" s="11"/>
      <c r="I22" s="11">
        <v>-2000789</v>
      </c>
      <c r="J22" s="12"/>
      <c r="K22" s="12"/>
      <c r="N22" s="51"/>
    </row>
    <row r="23" spans="1:14" s="18" customFormat="1" ht="15" customHeight="1" x14ac:dyDescent="0.25">
      <c r="A23" s="18" t="s">
        <v>14</v>
      </c>
      <c r="B23" s="7"/>
      <c r="C23" s="8"/>
      <c r="D23" s="9">
        <v>42921</v>
      </c>
      <c r="E23" s="67"/>
      <c r="F23" s="8" t="s">
        <v>81</v>
      </c>
      <c r="G23" s="8"/>
      <c r="H23" s="11"/>
      <c r="I23" s="11">
        <v>12124124</v>
      </c>
      <c r="J23" s="12"/>
      <c r="K23" s="12"/>
      <c r="N23" s="51"/>
    </row>
    <row r="24" spans="1:14" s="18" customFormat="1" ht="15" customHeight="1" x14ac:dyDescent="0.25">
      <c r="A24" s="53" t="s">
        <v>15</v>
      </c>
      <c r="B24" s="54"/>
      <c r="C24" s="55"/>
      <c r="D24" s="56">
        <v>42750</v>
      </c>
      <c r="E24" s="68"/>
      <c r="F24" s="55" t="s">
        <v>73</v>
      </c>
      <c r="G24" s="55"/>
      <c r="H24" s="57">
        <v>5241602.82</v>
      </c>
      <c r="I24" s="57"/>
      <c r="J24" s="58"/>
      <c r="K24" s="58"/>
      <c r="L24" s="53"/>
      <c r="N24" s="51"/>
    </row>
    <row r="25" spans="1:14" s="18" customFormat="1" ht="15" customHeight="1" x14ac:dyDescent="0.25">
      <c r="A25" s="53" t="s">
        <v>15</v>
      </c>
      <c r="B25" s="54"/>
      <c r="C25" s="55"/>
      <c r="D25" s="56">
        <v>42750</v>
      </c>
      <c r="E25" s="68"/>
      <c r="F25" s="55" t="s">
        <v>74</v>
      </c>
      <c r="G25" s="55"/>
      <c r="H25" s="57">
        <v>2785457.5</v>
      </c>
      <c r="I25" s="57"/>
      <c r="J25" s="58"/>
      <c r="K25" s="58"/>
      <c r="L25" s="53"/>
      <c r="N25" s="51"/>
    </row>
    <row r="26" spans="1:14" s="18" customFormat="1" ht="15" customHeight="1" x14ac:dyDescent="0.25">
      <c r="A26" s="53" t="s">
        <v>15</v>
      </c>
      <c r="B26" s="54"/>
      <c r="C26" s="55"/>
      <c r="D26" s="56">
        <v>42750</v>
      </c>
      <c r="E26" s="68"/>
      <c r="F26" s="55" t="s">
        <v>75</v>
      </c>
      <c r="G26" s="55"/>
      <c r="H26" s="57">
        <v>2022590</v>
      </c>
      <c r="I26" s="57"/>
      <c r="J26" s="58"/>
      <c r="K26" s="58"/>
      <c r="L26" s="53"/>
      <c r="N26" s="51"/>
    </row>
    <row r="27" spans="1:14" s="18" customFormat="1" ht="15" customHeight="1" x14ac:dyDescent="0.25">
      <c r="A27" s="53" t="s">
        <v>15</v>
      </c>
      <c r="B27" s="54"/>
      <c r="C27" s="55"/>
      <c r="D27" s="56">
        <v>42750</v>
      </c>
      <c r="E27" s="68"/>
      <c r="F27" s="55" t="s">
        <v>76</v>
      </c>
      <c r="G27" s="55"/>
      <c r="H27" s="57">
        <v>1875125</v>
      </c>
      <c r="I27" s="57"/>
      <c r="J27" s="58"/>
      <c r="K27" s="58"/>
      <c r="L27" s="53"/>
      <c r="N27" s="51"/>
    </row>
    <row r="28" spans="1:14" s="18" customFormat="1" ht="15" customHeight="1" x14ac:dyDescent="0.25">
      <c r="A28" s="53" t="s">
        <v>15</v>
      </c>
      <c r="B28" s="54"/>
      <c r="C28" s="55"/>
      <c r="D28" s="56">
        <v>42750</v>
      </c>
      <c r="E28" s="68"/>
      <c r="F28" s="55" t="s">
        <v>77</v>
      </c>
      <c r="G28" s="55"/>
      <c r="H28" s="57">
        <v>1592569.55</v>
      </c>
      <c r="I28" s="57"/>
      <c r="J28" s="58"/>
      <c r="K28" s="58"/>
      <c r="L28" s="53"/>
      <c r="N28" s="51"/>
    </row>
    <row r="29" spans="1:14" s="18" customFormat="1" ht="15" customHeight="1" x14ac:dyDescent="0.25">
      <c r="A29" s="53" t="s">
        <v>15</v>
      </c>
      <c r="B29" s="54"/>
      <c r="C29" s="55"/>
      <c r="D29" s="56">
        <v>42750</v>
      </c>
      <c r="E29" s="68"/>
      <c r="F29" s="55" t="s">
        <v>78</v>
      </c>
      <c r="G29" s="55"/>
      <c r="H29" s="57">
        <v>1020000</v>
      </c>
      <c r="I29" s="57"/>
      <c r="J29" s="58"/>
      <c r="K29" s="58"/>
      <c r="L29" s="53"/>
      <c r="N29" s="51"/>
    </row>
    <row r="30" spans="1:14" s="18" customFormat="1" ht="15" customHeight="1" x14ac:dyDescent="0.25">
      <c r="A30" s="53" t="s">
        <v>15</v>
      </c>
      <c r="B30" s="54"/>
      <c r="C30" s="55"/>
      <c r="D30" s="56">
        <v>42809</v>
      </c>
      <c r="E30" s="68"/>
      <c r="F30" s="55"/>
      <c r="G30" s="55"/>
      <c r="H30" s="59"/>
      <c r="I30" s="57">
        <v>5441604.8399999999</v>
      </c>
      <c r="J30" s="58"/>
      <c r="K30" s="58"/>
      <c r="L30" s="53"/>
      <c r="N30" s="51"/>
    </row>
    <row r="31" spans="1:14" s="18" customFormat="1" ht="15" customHeight="1" x14ac:dyDescent="0.25">
      <c r="A31" s="53" t="s">
        <v>15</v>
      </c>
      <c r="B31" s="54"/>
      <c r="C31" s="55"/>
      <c r="D31" s="56">
        <v>42809</v>
      </c>
      <c r="E31" s="68"/>
      <c r="F31" s="55" t="s">
        <v>74</v>
      </c>
      <c r="G31" s="55"/>
      <c r="H31" s="59"/>
      <c r="I31" s="57">
        <v>4785457.5</v>
      </c>
      <c r="J31" s="58"/>
      <c r="K31" s="58"/>
      <c r="L31" s="53"/>
      <c r="N31" s="51"/>
    </row>
    <row r="32" spans="1:14" s="18" customFormat="1" ht="15" customHeight="1" x14ac:dyDescent="0.25">
      <c r="A32" s="53" t="s">
        <v>15</v>
      </c>
      <c r="B32" s="54"/>
      <c r="C32" s="55"/>
      <c r="D32" s="56">
        <v>42809</v>
      </c>
      <c r="E32" s="68"/>
      <c r="F32" s="55" t="s">
        <v>75</v>
      </c>
      <c r="G32" s="55"/>
      <c r="H32" s="57"/>
      <c r="I32" s="57">
        <v>2721467</v>
      </c>
      <c r="J32" s="58"/>
      <c r="K32" s="58"/>
      <c r="L32" s="53"/>
      <c r="N32" s="51"/>
    </row>
    <row r="33" spans="1:14" s="18" customFormat="1" ht="15" customHeight="1" x14ac:dyDescent="0.25">
      <c r="A33" s="53" t="s">
        <v>15</v>
      </c>
      <c r="B33" s="54"/>
      <c r="C33" s="55"/>
      <c r="D33" s="56">
        <v>42809</v>
      </c>
      <c r="E33" s="68"/>
      <c r="F33" s="55"/>
      <c r="G33" s="55"/>
      <c r="H33" s="57"/>
      <c r="I33" s="57">
        <v>1875145</v>
      </c>
      <c r="J33" s="58"/>
      <c r="K33" s="58"/>
      <c r="L33" s="53"/>
      <c r="N33" s="51"/>
    </row>
    <row r="34" spans="1:14" s="18" customFormat="1" ht="15" customHeight="1" x14ac:dyDescent="0.25">
      <c r="A34" s="53" t="s">
        <v>15</v>
      </c>
      <c r="B34" s="54"/>
      <c r="C34" s="55"/>
      <c r="D34" s="56">
        <v>42809</v>
      </c>
      <c r="E34" s="68"/>
      <c r="F34" s="55" t="s">
        <v>77</v>
      </c>
      <c r="G34" s="55"/>
      <c r="H34" s="57"/>
      <c r="I34" s="57">
        <v>1594569.55</v>
      </c>
      <c r="J34" s="58"/>
      <c r="K34" s="58"/>
      <c r="L34" s="53"/>
      <c r="N34" s="51"/>
    </row>
    <row r="35" spans="1:14" s="18" customFormat="1" ht="15" customHeight="1" x14ac:dyDescent="0.25">
      <c r="A35" s="53" t="s">
        <v>15</v>
      </c>
      <c r="B35" s="54"/>
      <c r="C35" s="55"/>
      <c r="D35" s="56">
        <v>42809</v>
      </c>
      <c r="E35" s="68"/>
      <c r="F35" s="55" t="s">
        <v>75</v>
      </c>
      <c r="G35" s="55"/>
      <c r="H35" s="57"/>
      <c r="I35" s="57">
        <v>1323123</v>
      </c>
      <c r="J35" s="58"/>
      <c r="K35" s="58"/>
      <c r="L35" s="53"/>
      <c r="N35" s="51"/>
    </row>
    <row r="36" spans="1:14" s="18" customFormat="1" ht="15" customHeight="1" x14ac:dyDescent="0.25">
      <c r="A36" s="53" t="s">
        <v>15</v>
      </c>
      <c r="B36" s="54"/>
      <c r="C36" s="55"/>
      <c r="D36" s="56">
        <v>42809</v>
      </c>
      <c r="E36" s="68"/>
      <c r="F36" s="55" t="s">
        <v>78</v>
      </c>
      <c r="G36" s="55"/>
      <c r="H36" s="57"/>
      <c r="I36" s="57">
        <v>1040000</v>
      </c>
      <c r="J36" s="58"/>
      <c r="K36" s="58"/>
      <c r="L36" s="53"/>
      <c r="N36" s="51"/>
    </row>
    <row r="37" spans="1:14" s="18" customFormat="1" ht="15" customHeight="1" x14ac:dyDescent="0.25">
      <c r="A37" s="53" t="s">
        <v>15</v>
      </c>
      <c r="B37" s="54"/>
      <c r="C37" s="55"/>
      <c r="D37" s="56">
        <v>42809</v>
      </c>
      <c r="E37" s="68"/>
      <c r="F37" s="55" t="s">
        <v>79</v>
      </c>
      <c r="G37" s="55"/>
      <c r="H37" s="57"/>
      <c r="I37" s="57">
        <v>199999</v>
      </c>
      <c r="J37" s="58"/>
      <c r="K37" s="58"/>
      <c r="L37" s="53"/>
      <c r="N37" s="51"/>
    </row>
    <row r="38" spans="1:14" s="18" customFormat="1" ht="15" customHeight="1" x14ac:dyDescent="0.25">
      <c r="A38" s="53" t="s">
        <v>15</v>
      </c>
      <c r="B38" s="54"/>
      <c r="C38" s="55"/>
      <c r="D38" s="56">
        <v>42809</v>
      </c>
      <c r="E38" s="68"/>
      <c r="F38" s="55"/>
      <c r="G38" s="55"/>
      <c r="H38" s="57"/>
      <c r="I38" s="57">
        <v>789</v>
      </c>
      <c r="J38" s="58"/>
      <c r="K38" s="58"/>
      <c r="L38" s="53"/>
      <c r="N38" s="51"/>
    </row>
    <row r="39" spans="1:14" s="18" customFormat="1" ht="15" customHeight="1" x14ac:dyDescent="0.25">
      <c r="A39" s="53" t="s">
        <v>15</v>
      </c>
      <c r="B39" s="54"/>
      <c r="C39" s="55"/>
      <c r="D39" s="56">
        <v>42809</v>
      </c>
      <c r="E39" s="68"/>
      <c r="F39" s="55"/>
      <c r="G39" s="55"/>
      <c r="H39" s="57"/>
      <c r="I39" s="57">
        <v>456</v>
      </c>
      <c r="J39" s="58"/>
      <c r="K39" s="58"/>
      <c r="L39" s="53"/>
      <c r="N39" s="51"/>
    </row>
    <row r="40" spans="1:14" s="18" customFormat="1" ht="15" customHeight="1" x14ac:dyDescent="0.25">
      <c r="A40" s="53" t="s">
        <v>15</v>
      </c>
      <c r="B40" s="54"/>
      <c r="C40" s="55"/>
      <c r="D40" s="56">
        <v>42809</v>
      </c>
      <c r="E40" s="68"/>
      <c r="F40" s="55"/>
      <c r="G40" s="55"/>
      <c r="H40" s="57"/>
      <c r="I40" s="57">
        <v>123</v>
      </c>
      <c r="J40" s="58"/>
      <c r="K40" s="58"/>
      <c r="L40" s="53"/>
      <c r="N40" s="51"/>
    </row>
    <row r="41" spans="1:14" s="18" customFormat="1" ht="15" customHeight="1" x14ac:dyDescent="0.25">
      <c r="A41" s="53" t="s">
        <v>15</v>
      </c>
      <c r="B41" s="54"/>
      <c r="C41" s="55"/>
      <c r="D41" s="56">
        <v>42809</v>
      </c>
      <c r="E41" s="68"/>
      <c r="F41" s="55" t="s">
        <v>79</v>
      </c>
      <c r="G41" s="55"/>
      <c r="H41" s="57"/>
      <c r="I41" s="57">
        <v>-199999</v>
      </c>
      <c r="J41" s="58"/>
      <c r="K41" s="58"/>
      <c r="L41" s="53"/>
      <c r="N41" s="51"/>
    </row>
    <row r="42" spans="1:14" s="18" customFormat="1" ht="15" customHeight="1" x14ac:dyDescent="0.25">
      <c r="A42" s="53" t="s">
        <v>15</v>
      </c>
      <c r="B42" s="54"/>
      <c r="C42" s="55"/>
      <c r="D42" s="56">
        <v>42840</v>
      </c>
      <c r="E42" s="68"/>
      <c r="F42" s="55"/>
      <c r="G42" s="55"/>
      <c r="H42" s="57"/>
      <c r="I42" s="57">
        <v>63464363</v>
      </c>
      <c r="J42" s="58"/>
      <c r="K42" s="58"/>
      <c r="L42" s="53"/>
      <c r="N42" s="51"/>
    </row>
    <row r="43" spans="1:14" s="18" customFormat="1" ht="15" customHeight="1" x14ac:dyDescent="0.25">
      <c r="A43" s="53" t="s">
        <v>15</v>
      </c>
      <c r="B43" s="54"/>
      <c r="C43" s="55"/>
      <c r="D43" s="56">
        <v>42840</v>
      </c>
      <c r="E43" s="68"/>
      <c r="F43" s="55" t="s">
        <v>80</v>
      </c>
      <c r="G43" s="55"/>
      <c r="H43" s="57"/>
      <c r="I43" s="57">
        <v>2000789</v>
      </c>
      <c r="J43" s="58"/>
      <c r="K43" s="58"/>
      <c r="L43" s="53"/>
      <c r="N43" s="51"/>
    </row>
    <row r="44" spans="1:14" s="18" customFormat="1" ht="15" customHeight="1" x14ac:dyDescent="0.25">
      <c r="A44" s="53" t="s">
        <v>15</v>
      </c>
      <c r="B44" s="54"/>
      <c r="C44" s="55"/>
      <c r="D44" s="56">
        <v>42840</v>
      </c>
      <c r="E44" s="68"/>
      <c r="F44" s="55"/>
      <c r="G44" s="55"/>
      <c r="H44" s="57"/>
      <c r="I44" s="57">
        <v>-2000789</v>
      </c>
      <c r="J44" s="58"/>
      <c r="K44" s="58"/>
      <c r="L44" s="53"/>
      <c r="N44" s="51"/>
    </row>
    <row r="45" spans="1:14" s="18" customFormat="1" ht="15" customHeight="1" x14ac:dyDescent="0.25">
      <c r="A45" s="53" t="s">
        <v>15</v>
      </c>
      <c r="B45" s="54"/>
      <c r="C45" s="55"/>
      <c r="D45" s="56">
        <v>42921</v>
      </c>
      <c r="E45" s="68"/>
      <c r="F45" s="55" t="s">
        <v>81</v>
      </c>
      <c r="G45" s="55"/>
      <c r="H45" s="57"/>
      <c r="I45" s="57">
        <v>12124124</v>
      </c>
      <c r="J45" s="58"/>
      <c r="K45" s="58"/>
      <c r="L45" s="53"/>
      <c r="N45" s="51"/>
    </row>
    <row r="46" spans="1:14" s="18" customFormat="1" ht="15" customHeight="1" x14ac:dyDescent="0.25">
      <c r="A46" s="18" t="s">
        <v>16</v>
      </c>
      <c r="B46" s="7"/>
      <c r="C46" s="8"/>
      <c r="D46" s="9">
        <v>42750</v>
      </c>
      <c r="E46" s="67"/>
      <c r="F46" s="8" t="s">
        <v>73</v>
      </c>
      <c r="G46" s="8"/>
      <c r="H46" s="11">
        <v>5241602.82</v>
      </c>
      <c r="I46" s="11"/>
      <c r="J46" s="12"/>
      <c r="K46" s="12"/>
      <c r="N46" s="51"/>
    </row>
    <row r="47" spans="1:14" ht="15" customHeight="1" x14ac:dyDescent="0.25">
      <c r="A47" s="4" t="s">
        <v>16</v>
      </c>
      <c r="D47" s="9">
        <v>42750</v>
      </c>
      <c r="F47" s="8" t="s">
        <v>74</v>
      </c>
      <c r="H47" s="11">
        <v>2785457.5</v>
      </c>
    </row>
    <row r="48" spans="1:14" ht="15" customHeight="1" x14ac:dyDescent="0.25">
      <c r="A48" s="4" t="s">
        <v>16</v>
      </c>
      <c r="D48" s="9">
        <v>42750</v>
      </c>
      <c r="F48" s="8" t="s">
        <v>75</v>
      </c>
      <c r="H48" s="11">
        <v>2022590</v>
      </c>
    </row>
    <row r="49" spans="1:9" ht="15" customHeight="1" x14ac:dyDescent="0.25">
      <c r="A49" s="4" t="s">
        <v>16</v>
      </c>
      <c r="D49" s="9">
        <v>42750</v>
      </c>
      <c r="F49" s="8" t="s">
        <v>76</v>
      </c>
      <c r="H49" s="11">
        <v>1875125</v>
      </c>
    </row>
    <row r="50" spans="1:9" ht="15" customHeight="1" x14ac:dyDescent="0.25">
      <c r="A50" s="4" t="s">
        <v>16</v>
      </c>
      <c r="D50" s="9">
        <v>42750</v>
      </c>
      <c r="F50" s="8" t="s">
        <v>77</v>
      </c>
      <c r="H50" s="11">
        <v>1592569.55</v>
      </c>
    </row>
    <row r="51" spans="1:9" ht="15" customHeight="1" x14ac:dyDescent="0.25">
      <c r="A51" s="4" t="s">
        <v>16</v>
      </c>
      <c r="D51" s="9">
        <v>42750</v>
      </c>
      <c r="F51" s="8" t="s">
        <v>78</v>
      </c>
      <c r="H51" s="11">
        <v>1020000</v>
      </c>
    </row>
    <row r="52" spans="1:9" ht="15" customHeight="1" x14ac:dyDescent="0.25">
      <c r="A52" s="4" t="s">
        <v>16</v>
      </c>
      <c r="D52" s="9">
        <v>42809</v>
      </c>
      <c r="F52" s="8"/>
      <c r="H52" s="13"/>
      <c r="I52" s="11">
        <v>5441604.8399999999</v>
      </c>
    </row>
    <row r="53" spans="1:9" ht="15" customHeight="1" x14ac:dyDescent="0.25">
      <c r="A53" s="4" t="s">
        <v>16</v>
      </c>
      <c r="D53" s="9">
        <v>42809</v>
      </c>
      <c r="F53" s="8" t="s">
        <v>74</v>
      </c>
      <c r="H53" s="13"/>
      <c r="I53" s="11">
        <v>4785457.5</v>
      </c>
    </row>
    <row r="54" spans="1:9" ht="15" customHeight="1" x14ac:dyDescent="0.25">
      <c r="A54" s="4" t="s">
        <v>16</v>
      </c>
      <c r="D54" s="9">
        <v>42809</v>
      </c>
      <c r="F54" s="8" t="s">
        <v>75</v>
      </c>
      <c r="I54" s="11">
        <v>2721467</v>
      </c>
    </row>
    <row r="55" spans="1:9" ht="15" customHeight="1" x14ac:dyDescent="0.25">
      <c r="A55" s="4" t="s">
        <v>16</v>
      </c>
      <c r="D55" s="9">
        <v>42809</v>
      </c>
      <c r="F55" s="8"/>
      <c r="I55" s="11">
        <v>1875145</v>
      </c>
    </row>
    <row r="56" spans="1:9" ht="15" customHeight="1" x14ac:dyDescent="0.25">
      <c r="A56" s="4" t="s">
        <v>16</v>
      </c>
      <c r="D56" s="9">
        <v>42809</v>
      </c>
      <c r="F56" s="8" t="s">
        <v>77</v>
      </c>
      <c r="I56" s="11">
        <v>1594569.55</v>
      </c>
    </row>
    <row r="57" spans="1:9" ht="15" customHeight="1" x14ac:dyDescent="0.25">
      <c r="A57" s="4" t="s">
        <v>16</v>
      </c>
      <c r="D57" s="9">
        <v>42809</v>
      </c>
      <c r="F57" s="8" t="s">
        <v>75</v>
      </c>
      <c r="I57" s="11">
        <v>1323123</v>
      </c>
    </row>
    <row r="58" spans="1:9" ht="15" customHeight="1" x14ac:dyDescent="0.25">
      <c r="A58" s="4" t="s">
        <v>16</v>
      </c>
      <c r="D58" s="9">
        <v>42809</v>
      </c>
      <c r="F58" s="8" t="s">
        <v>78</v>
      </c>
      <c r="I58" s="11">
        <v>1040000</v>
      </c>
    </row>
    <row r="59" spans="1:9" ht="15" customHeight="1" x14ac:dyDescent="0.25">
      <c r="A59" s="4" t="s">
        <v>16</v>
      </c>
      <c r="D59" s="9">
        <v>42809</v>
      </c>
      <c r="F59" s="8" t="s">
        <v>79</v>
      </c>
      <c r="I59" s="11">
        <v>199999</v>
      </c>
    </row>
    <row r="60" spans="1:9" ht="15" customHeight="1" x14ac:dyDescent="0.25">
      <c r="A60" s="4" t="s">
        <v>16</v>
      </c>
      <c r="D60" s="9">
        <v>42809</v>
      </c>
      <c r="F60" s="8"/>
      <c r="I60" s="11">
        <v>789</v>
      </c>
    </row>
    <row r="61" spans="1:9" ht="15" customHeight="1" x14ac:dyDescent="0.25">
      <c r="A61" s="4" t="s">
        <v>16</v>
      </c>
      <c r="D61" s="9">
        <v>42809</v>
      </c>
      <c r="F61" s="8"/>
      <c r="I61" s="11">
        <v>456</v>
      </c>
    </row>
    <row r="62" spans="1:9" ht="15" customHeight="1" x14ac:dyDescent="0.25">
      <c r="A62" s="4" t="s">
        <v>16</v>
      </c>
      <c r="D62" s="9">
        <v>42809</v>
      </c>
      <c r="F62" s="8"/>
      <c r="I62" s="11">
        <v>123</v>
      </c>
    </row>
    <row r="63" spans="1:9" ht="15" customHeight="1" x14ac:dyDescent="0.25">
      <c r="A63" s="4" t="s">
        <v>16</v>
      </c>
      <c r="D63" s="9">
        <v>42809</v>
      </c>
      <c r="F63" s="8" t="s">
        <v>79</v>
      </c>
      <c r="I63" s="11">
        <v>-199999</v>
      </c>
    </row>
    <row r="64" spans="1:9" ht="15" customHeight="1" x14ac:dyDescent="0.25">
      <c r="A64" s="4" t="s">
        <v>16</v>
      </c>
      <c r="D64" s="9">
        <v>42840</v>
      </c>
      <c r="F64" s="8"/>
      <c r="I64" s="11">
        <v>63464363</v>
      </c>
    </row>
    <row r="65" spans="1:9" ht="15" customHeight="1" x14ac:dyDescent="0.25">
      <c r="A65" s="4" t="s">
        <v>16</v>
      </c>
      <c r="D65" s="9">
        <v>42840</v>
      </c>
      <c r="F65" s="8" t="s">
        <v>80</v>
      </c>
      <c r="I65" s="11">
        <v>2000789</v>
      </c>
    </row>
    <row r="66" spans="1:9" ht="15" customHeight="1" x14ac:dyDescent="0.25">
      <c r="A66" s="4" t="s">
        <v>16</v>
      </c>
      <c r="D66" s="9">
        <v>42840</v>
      </c>
      <c r="F66" s="8"/>
      <c r="I66" s="11">
        <v>-2000789</v>
      </c>
    </row>
    <row r="67" spans="1:9" ht="15" customHeight="1" x14ac:dyDescent="0.25">
      <c r="A67" s="4" t="s">
        <v>16</v>
      </c>
      <c r="D67" s="9">
        <v>42921</v>
      </c>
      <c r="F67" s="8" t="s">
        <v>81</v>
      </c>
      <c r="I67" s="11">
        <v>12124124</v>
      </c>
    </row>
  </sheetData>
  <phoneticPr fontId="2" type="noConversion"/>
  <printOptions horizontalCentered="1" gridLines="1"/>
  <pageMargins left="0" right="0" top="0.98425196850393704" bottom="0.39370078740157483" header="0.51181102362204722" footer="0.19685039370078741"/>
  <pageSetup paperSize="9" fitToHeight="0" orientation="landscape" blackAndWhite="1" horizontalDpi="1200" verticalDpi="1200" r:id="rId1"/>
  <headerFooter alignWithMargins="0">
    <oddFooter>&amp;C&amp;P / &amp;N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95947-36E2-4EC8-9906-260D659B4196}">
  <sheetPr codeName="Sheet3">
    <tabColor indexed="13"/>
    <pageSetUpPr fitToPage="1"/>
  </sheetPr>
  <dimension ref="A1:N52"/>
  <sheetViews>
    <sheetView zoomScaleNormal="100" workbookViewId="0">
      <pane ySplit="1" topLeftCell="A27" activePane="bottomLeft" state="frozen"/>
      <selection activeCell="H74" sqref="H74"/>
      <selection pane="bottomLeft" activeCell="D53" sqref="D53"/>
    </sheetView>
  </sheetViews>
  <sheetFormatPr defaultColWidth="13.6640625" defaultRowHeight="15" customHeight="1" x14ac:dyDescent="0.25"/>
  <cols>
    <col min="1" max="1" width="8.109375" style="21" bestFit="1" customWidth="1"/>
    <col min="2" max="2" width="8.33203125" style="4" bestFit="1" customWidth="1"/>
    <col min="3" max="3" width="14.88671875" style="14" customWidth="1"/>
    <col min="4" max="4" width="10" style="64" bestFit="1" customWidth="1"/>
    <col min="5" max="5" width="5" style="4" bestFit="1" customWidth="1"/>
    <col min="6" max="6" width="14.6640625" style="15" bestFit="1" customWidth="1"/>
    <col min="7" max="7" width="13.44140625" style="15" bestFit="1" customWidth="1"/>
    <col min="8" max="8" width="8.33203125" style="16" bestFit="1" customWidth="1"/>
    <col min="9" max="9" width="11.88671875" style="4" bestFit="1" customWidth="1"/>
    <col min="10" max="10" width="17.33203125" style="4" bestFit="1" customWidth="1"/>
    <col min="11" max="11" width="8.6640625" style="4" customWidth="1"/>
    <col min="12" max="12" width="14.109375" style="17" bestFit="1" customWidth="1"/>
    <col min="13" max="13" width="9.77734375" style="17" bestFit="1" customWidth="1"/>
    <col min="14" max="14" width="8.33203125" style="4" bestFit="1" customWidth="1"/>
    <col min="15" max="16384" width="13.6640625" style="4"/>
  </cols>
  <sheetData>
    <row r="1" spans="1:14" s="6" customFormat="1" ht="28.2" customHeight="1" x14ac:dyDescent="0.25">
      <c r="A1" s="45" t="s">
        <v>3</v>
      </c>
      <c r="B1" s="43" t="s">
        <v>17</v>
      </c>
      <c r="C1" s="45" t="s">
        <v>18</v>
      </c>
      <c r="D1" s="43" t="s">
        <v>19</v>
      </c>
      <c r="E1" s="43" t="s">
        <v>9</v>
      </c>
      <c r="F1" s="45" t="s">
        <v>10</v>
      </c>
      <c r="G1" s="45" t="s">
        <v>11</v>
      </c>
      <c r="H1" s="43" t="s">
        <v>20</v>
      </c>
      <c r="I1" s="43" t="s">
        <v>21</v>
      </c>
      <c r="J1" s="43" t="s">
        <v>8</v>
      </c>
      <c r="K1" s="43" t="s">
        <v>22</v>
      </c>
      <c r="L1" s="41" t="s">
        <v>72</v>
      </c>
      <c r="M1" s="44" t="s">
        <v>12</v>
      </c>
      <c r="N1" s="42" t="s">
        <v>13</v>
      </c>
    </row>
    <row r="2" spans="1:14" ht="15" customHeight="1" x14ac:dyDescent="0.25">
      <c r="A2" s="4" t="s">
        <v>14</v>
      </c>
      <c r="C2" s="63">
        <v>42751</v>
      </c>
      <c r="F2" s="11"/>
      <c r="G2" s="11">
        <v>5241602.82</v>
      </c>
      <c r="J2" s="4" t="s">
        <v>82</v>
      </c>
    </row>
    <row r="3" spans="1:14" ht="15" customHeight="1" x14ac:dyDescent="0.25">
      <c r="A3" s="4" t="s">
        <v>14</v>
      </c>
      <c r="C3" s="14">
        <v>42751</v>
      </c>
      <c r="F3" s="11"/>
      <c r="G3" s="11">
        <v>2785457.5</v>
      </c>
      <c r="J3" s="4" t="s">
        <v>83</v>
      </c>
    </row>
    <row r="4" spans="1:14" ht="15" customHeight="1" x14ac:dyDescent="0.25">
      <c r="A4" s="4" t="s">
        <v>14</v>
      </c>
      <c r="C4" s="14">
        <v>42751</v>
      </c>
      <c r="F4" s="11"/>
      <c r="G4" s="11">
        <v>2022590</v>
      </c>
      <c r="J4" s="4" t="s">
        <v>84</v>
      </c>
    </row>
    <row r="5" spans="1:14" ht="15" customHeight="1" x14ac:dyDescent="0.25">
      <c r="A5" s="4" t="s">
        <v>14</v>
      </c>
      <c r="C5" s="14">
        <v>42751</v>
      </c>
      <c r="F5" s="11"/>
      <c r="G5" s="11">
        <v>1875125</v>
      </c>
      <c r="J5" s="4" t="s">
        <v>85</v>
      </c>
    </row>
    <row r="6" spans="1:14" ht="15" customHeight="1" x14ac:dyDescent="0.25">
      <c r="A6" s="4" t="s">
        <v>14</v>
      </c>
      <c r="C6" s="14">
        <v>42751</v>
      </c>
      <c r="F6" s="11"/>
      <c r="G6" s="11">
        <v>1592569.55</v>
      </c>
      <c r="J6" s="4" t="s">
        <v>86</v>
      </c>
    </row>
    <row r="7" spans="1:14" ht="15" customHeight="1" x14ac:dyDescent="0.25">
      <c r="A7" s="4" t="s">
        <v>14</v>
      </c>
      <c r="C7" s="14">
        <v>42751</v>
      </c>
      <c r="F7" s="11"/>
      <c r="G7" s="11">
        <v>1020000</v>
      </c>
      <c r="J7" s="4" t="s">
        <v>87</v>
      </c>
    </row>
    <row r="8" spans="1:14" ht="15" customHeight="1" x14ac:dyDescent="0.25">
      <c r="A8" s="4" t="s">
        <v>14</v>
      </c>
      <c r="C8" s="14">
        <v>42809</v>
      </c>
      <c r="F8" s="11">
        <v>5441604.8399999999</v>
      </c>
      <c r="G8" s="11"/>
      <c r="J8" s="4" t="s">
        <v>88</v>
      </c>
    </row>
    <row r="9" spans="1:14" ht="15" customHeight="1" x14ac:dyDescent="0.25">
      <c r="A9" s="4" t="s">
        <v>14</v>
      </c>
      <c r="C9" s="14">
        <v>42810</v>
      </c>
      <c r="F9" s="11">
        <v>4785457.5</v>
      </c>
      <c r="G9" s="11"/>
      <c r="J9" s="4" t="s">
        <v>83</v>
      </c>
    </row>
    <row r="10" spans="1:14" ht="15" customHeight="1" x14ac:dyDescent="0.25">
      <c r="A10" s="4" t="s">
        <v>14</v>
      </c>
      <c r="C10" s="14">
        <v>42810</v>
      </c>
      <c r="F10" s="11">
        <v>4044590</v>
      </c>
      <c r="G10" s="11"/>
      <c r="J10" s="4" t="s">
        <v>84</v>
      </c>
    </row>
    <row r="11" spans="1:14" ht="15" customHeight="1" x14ac:dyDescent="0.25">
      <c r="A11" s="4" t="s">
        <v>14</v>
      </c>
      <c r="C11" s="14">
        <v>42810</v>
      </c>
      <c r="F11" s="11">
        <v>1875145</v>
      </c>
      <c r="G11" s="11"/>
      <c r="J11" s="4" t="s">
        <v>85</v>
      </c>
    </row>
    <row r="12" spans="1:14" ht="15" customHeight="1" x14ac:dyDescent="0.25">
      <c r="A12" s="4" t="s">
        <v>14</v>
      </c>
      <c r="C12" s="14">
        <v>42810</v>
      </c>
      <c r="F12" s="11">
        <v>1594569.55</v>
      </c>
      <c r="G12" s="11"/>
      <c r="J12" s="4" t="s">
        <v>86</v>
      </c>
    </row>
    <row r="13" spans="1:14" ht="15" customHeight="1" x14ac:dyDescent="0.25">
      <c r="A13" s="4" t="s">
        <v>14</v>
      </c>
      <c r="C13" s="14">
        <v>42810</v>
      </c>
      <c r="F13" s="11">
        <v>1040000</v>
      </c>
      <c r="G13" s="11"/>
      <c r="J13" s="4" t="s">
        <v>87</v>
      </c>
    </row>
    <row r="14" spans="1:14" ht="15" customHeight="1" x14ac:dyDescent="0.25">
      <c r="A14" s="4" t="s">
        <v>14</v>
      </c>
      <c r="C14" s="14">
        <v>42810</v>
      </c>
      <c r="F14" s="11">
        <v>134</v>
      </c>
      <c r="G14" s="11"/>
    </row>
    <row r="15" spans="1:14" ht="15" customHeight="1" x14ac:dyDescent="0.25">
      <c r="A15" s="4" t="s">
        <v>14</v>
      </c>
      <c r="C15" s="14">
        <v>42810</v>
      </c>
      <c r="F15" s="11">
        <v>1234</v>
      </c>
      <c r="G15" s="11"/>
    </row>
    <row r="16" spans="1:14" ht="15" customHeight="1" x14ac:dyDescent="0.25">
      <c r="A16" s="4" t="s">
        <v>14</v>
      </c>
      <c r="C16" s="14">
        <v>42841</v>
      </c>
      <c r="F16" s="11">
        <v>123456</v>
      </c>
      <c r="G16" s="11"/>
    </row>
    <row r="17" spans="1:14" s="18" customFormat="1" ht="15" customHeight="1" x14ac:dyDescent="0.25">
      <c r="A17" s="18" t="s">
        <v>14</v>
      </c>
      <c r="C17" s="50">
        <v>42842</v>
      </c>
      <c r="D17" s="65"/>
      <c r="F17" s="11">
        <v>63464363</v>
      </c>
      <c r="G17" s="11"/>
      <c r="H17" s="19"/>
      <c r="L17" s="20"/>
      <c r="M17" s="20"/>
    </row>
    <row r="18" spans="1:14" s="18" customFormat="1" ht="15" customHeight="1" x14ac:dyDescent="0.25">
      <c r="A18" s="18" t="s">
        <v>14</v>
      </c>
      <c r="C18" s="50">
        <v>42914</v>
      </c>
      <c r="D18" s="65"/>
      <c r="F18" s="11">
        <v>12124124</v>
      </c>
      <c r="G18" s="11"/>
      <c r="H18" s="19"/>
      <c r="L18" s="20"/>
      <c r="M18" s="20"/>
    </row>
    <row r="19" spans="1:14" s="18" customFormat="1" ht="15" customHeight="1" x14ac:dyDescent="0.25">
      <c r="A19" s="53" t="s">
        <v>15</v>
      </c>
      <c r="B19" s="53"/>
      <c r="C19" s="60">
        <v>42751</v>
      </c>
      <c r="D19" s="66"/>
      <c r="E19" s="53"/>
      <c r="F19" s="57"/>
      <c r="G19" s="57">
        <v>5241602.82</v>
      </c>
      <c r="H19" s="61"/>
      <c r="I19" s="53"/>
      <c r="J19" s="53" t="s">
        <v>82</v>
      </c>
      <c r="K19" s="53"/>
      <c r="L19" s="62"/>
      <c r="M19" s="62"/>
      <c r="N19" s="53"/>
    </row>
    <row r="20" spans="1:14" s="18" customFormat="1" ht="15" customHeight="1" x14ac:dyDescent="0.25">
      <c r="A20" s="53" t="s">
        <v>15</v>
      </c>
      <c r="B20" s="53"/>
      <c r="C20" s="60">
        <v>42751</v>
      </c>
      <c r="D20" s="66"/>
      <c r="E20" s="53"/>
      <c r="F20" s="57"/>
      <c r="G20" s="57">
        <v>2785457.5</v>
      </c>
      <c r="H20" s="61"/>
      <c r="I20" s="53"/>
      <c r="J20" s="53" t="s">
        <v>83</v>
      </c>
      <c r="K20" s="53"/>
      <c r="L20" s="62"/>
      <c r="M20" s="62"/>
      <c r="N20" s="53"/>
    </row>
    <row r="21" spans="1:14" s="18" customFormat="1" ht="15" customHeight="1" x14ac:dyDescent="0.25">
      <c r="A21" s="53" t="s">
        <v>15</v>
      </c>
      <c r="B21" s="53"/>
      <c r="C21" s="60">
        <v>42751</v>
      </c>
      <c r="D21" s="66"/>
      <c r="E21" s="53"/>
      <c r="F21" s="57"/>
      <c r="G21" s="57">
        <v>2022590</v>
      </c>
      <c r="H21" s="61"/>
      <c r="I21" s="53"/>
      <c r="J21" s="53" t="s">
        <v>84</v>
      </c>
      <c r="K21" s="53"/>
      <c r="L21" s="62"/>
      <c r="M21" s="62"/>
      <c r="N21" s="53"/>
    </row>
    <row r="22" spans="1:14" s="18" customFormat="1" ht="15" customHeight="1" x14ac:dyDescent="0.25">
      <c r="A22" s="53" t="s">
        <v>15</v>
      </c>
      <c r="B22" s="53"/>
      <c r="C22" s="60">
        <v>42751</v>
      </c>
      <c r="D22" s="66"/>
      <c r="E22" s="53"/>
      <c r="F22" s="57"/>
      <c r="G22" s="57">
        <v>1875125</v>
      </c>
      <c r="H22" s="61"/>
      <c r="I22" s="53"/>
      <c r="J22" s="53" t="s">
        <v>85</v>
      </c>
      <c r="K22" s="53"/>
      <c r="L22" s="62"/>
      <c r="M22" s="62"/>
      <c r="N22" s="53"/>
    </row>
    <row r="23" spans="1:14" s="18" customFormat="1" ht="15" customHeight="1" x14ac:dyDescent="0.25">
      <c r="A23" s="53" t="s">
        <v>15</v>
      </c>
      <c r="B23" s="53"/>
      <c r="C23" s="60">
        <v>42751</v>
      </c>
      <c r="D23" s="66"/>
      <c r="E23" s="53"/>
      <c r="F23" s="57"/>
      <c r="G23" s="57">
        <v>1592569.55</v>
      </c>
      <c r="H23" s="61"/>
      <c r="I23" s="53"/>
      <c r="J23" s="53" t="s">
        <v>86</v>
      </c>
      <c r="K23" s="53"/>
      <c r="L23" s="62"/>
      <c r="M23" s="62"/>
      <c r="N23" s="53"/>
    </row>
    <row r="24" spans="1:14" s="18" customFormat="1" ht="15" customHeight="1" x14ac:dyDescent="0.25">
      <c r="A24" s="53" t="s">
        <v>15</v>
      </c>
      <c r="B24" s="53"/>
      <c r="C24" s="60">
        <v>42751</v>
      </c>
      <c r="D24" s="66"/>
      <c r="E24" s="53"/>
      <c r="F24" s="57"/>
      <c r="G24" s="57">
        <v>1020000</v>
      </c>
      <c r="H24" s="61"/>
      <c r="I24" s="53"/>
      <c r="J24" s="53" t="s">
        <v>87</v>
      </c>
      <c r="K24" s="53"/>
      <c r="L24" s="62"/>
      <c r="M24" s="62"/>
      <c r="N24" s="53"/>
    </row>
    <row r="25" spans="1:14" s="18" customFormat="1" ht="15" customHeight="1" x14ac:dyDescent="0.25">
      <c r="A25" s="53" t="s">
        <v>15</v>
      </c>
      <c r="B25" s="53"/>
      <c r="C25" s="60">
        <v>42809</v>
      </c>
      <c r="D25" s="66"/>
      <c r="E25" s="53"/>
      <c r="F25" s="57">
        <v>5441604.8399999999</v>
      </c>
      <c r="G25" s="57"/>
      <c r="H25" s="61"/>
      <c r="I25" s="53"/>
      <c r="J25" s="53" t="s">
        <v>88</v>
      </c>
      <c r="K25" s="53"/>
      <c r="L25" s="62"/>
      <c r="M25" s="62"/>
      <c r="N25" s="53"/>
    </row>
    <row r="26" spans="1:14" s="18" customFormat="1" ht="15" customHeight="1" x14ac:dyDescent="0.25">
      <c r="A26" s="53" t="s">
        <v>15</v>
      </c>
      <c r="B26" s="53"/>
      <c r="C26" s="60">
        <v>42810</v>
      </c>
      <c r="D26" s="66"/>
      <c r="E26" s="53"/>
      <c r="F26" s="57">
        <v>4785457.5</v>
      </c>
      <c r="G26" s="57"/>
      <c r="H26" s="61"/>
      <c r="I26" s="53"/>
      <c r="J26" s="53" t="s">
        <v>83</v>
      </c>
      <c r="K26" s="53"/>
      <c r="L26" s="62"/>
      <c r="M26" s="62"/>
      <c r="N26" s="53"/>
    </row>
    <row r="27" spans="1:14" s="18" customFormat="1" ht="15" customHeight="1" x14ac:dyDescent="0.25">
      <c r="A27" s="53" t="s">
        <v>15</v>
      </c>
      <c r="B27" s="53"/>
      <c r="C27" s="60">
        <v>42810</v>
      </c>
      <c r="D27" s="66"/>
      <c r="E27" s="53"/>
      <c r="F27" s="57">
        <v>4044590</v>
      </c>
      <c r="G27" s="57"/>
      <c r="H27" s="61"/>
      <c r="I27" s="53"/>
      <c r="J27" s="53" t="s">
        <v>84</v>
      </c>
      <c r="K27" s="53"/>
      <c r="L27" s="62"/>
      <c r="M27" s="62"/>
      <c r="N27" s="53"/>
    </row>
    <row r="28" spans="1:14" s="18" customFormat="1" ht="15" customHeight="1" x14ac:dyDescent="0.25">
      <c r="A28" s="53" t="s">
        <v>15</v>
      </c>
      <c r="B28" s="53"/>
      <c r="C28" s="60">
        <v>42810</v>
      </c>
      <c r="D28" s="66"/>
      <c r="E28" s="53"/>
      <c r="F28" s="57">
        <v>1875145</v>
      </c>
      <c r="G28" s="57"/>
      <c r="H28" s="61"/>
      <c r="I28" s="53"/>
      <c r="J28" s="53" t="s">
        <v>85</v>
      </c>
      <c r="K28" s="53"/>
      <c r="L28" s="62"/>
      <c r="M28" s="62"/>
      <c r="N28" s="53"/>
    </row>
    <row r="29" spans="1:14" s="18" customFormat="1" ht="15" customHeight="1" x14ac:dyDescent="0.25">
      <c r="A29" s="53" t="s">
        <v>15</v>
      </c>
      <c r="B29" s="53"/>
      <c r="C29" s="60">
        <v>42810</v>
      </c>
      <c r="D29" s="66"/>
      <c r="E29" s="53"/>
      <c r="F29" s="57">
        <v>1594569.55</v>
      </c>
      <c r="G29" s="57"/>
      <c r="H29" s="61"/>
      <c r="I29" s="53"/>
      <c r="J29" s="53" t="s">
        <v>86</v>
      </c>
      <c r="K29" s="53"/>
      <c r="L29" s="62"/>
      <c r="M29" s="62"/>
      <c r="N29" s="53"/>
    </row>
    <row r="30" spans="1:14" s="18" customFormat="1" ht="15" customHeight="1" x14ac:dyDescent="0.25">
      <c r="A30" s="53" t="s">
        <v>15</v>
      </c>
      <c r="B30" s="53"/>
      <c r="C30" s="60">
        <v>42810</v>
      </c>
      <c r="D30" s="66"/>
      <c r="E30" s="53"/>
      <c r="F30" s="57">
        <v>1040000</v>
      </c>
      <c r="G30" s="57"/>
      <c r="H30" s="61"/>
      <c r="I30" s="53"/>
      <c r="J30" s="53" t="s">
        <v>87</v>
      </c>
      <c r="K30" s="53"/>
      <c r="L30" s="62"/>
      <c r="M30" s="62"/>
      <c r="N30" s="53"/>
    </row>
    <row r="31" spans="1:14" s="18" customFormat="1" ht="15" customHeight="1" x14ac:dyDescent="0.25">
      <c r="A31" s="53" t="s">
        <v>15</v>
      </c>
      <c r="B31" s="53"/>
      <c r="C31" s="60">
        <v>42810</v>
      </c>
      <c r="D31" s="66"/>
      <c r="E31" s="53"/>
      <c r="F31" s="57">
        <v>134</v>
      </c>
      <c r="G31" s="57"/>
      <c r="H31" s="61"/>
      <c r="I31" s="53"/>
      <c r="J31" s="53"/>
      <c r="K31" s="53"/>
      <c r="L31" s="62"/>
      <c r="M31" s="62"/>
      <c r="N31" s="53"/>
    </row>
    <row r="32" spans="1:14" s="18" customFormat="1" ht="15" customHeight="1" x14ac:dyDescent="0.25">
      <c r="A32" s="53" t="s">
        <v>15</v>
      </c>
      <c r="B32" s="53"/>
      <c r="C32" s="60">
        <v>42810</v>
      </c>
      <c r="D32" s="66"/>
      <c r="E32" s="53"/>
      <c r="F32" s="57">
        <v>1234</v>
      </c>
      <c r="G32" s="57"/>
      <c r="H32" s="61"/>
      <c r="I32" s="53"/>
      <c r="J32" s="53"/>
      <c r="K32" s="53"/>
      <c r="L32" s="62"/>
      <c r="M32" s="62"/>
      <c r="N32" s="53"/>
    </row>
    <row r="33" spans="1:14" s="18" customFormat="1" ht="15" customHeight="1" x14ac:dyDescent="0.25">
      <c r="A33" s="53" t="s">
        <v>15</v>
      </c>
      <c r="B33" s="53"/>
      <c r="C33" s="60">
        <v>42841</v>
      </c>
      <c r="D33" s="66"/>
      <c r="E33" s="53"/>
      <c r="F33" s="57">
        <v>123456</v>
      </c>
      <c r="G33" s="57"/>
      <c r="H33" s="61"/>
      <c r="I33" s="53"/>
      <c r="J33" s="53"/>
      <c r="K33" s="53"/>
      <c r="L33" s="62"/>
      <c r="M33" s="62"/>
      <c r="N33" s="53"/>
    </row>
    <row r="34" spans="1:14" s="18" customFormat="1" ht="15" customHeight="1" x14ac:dyDescent="0.25">
      <c r="A34" s="53" t="s">
        <v>15</v>
      </c>
      <c r="B34" s="53"/>
      <c r="C34" s="60">
        <v>42842</v>
      </c>
      <c r="D34" s="66"/>
      <c r="E34" s="53"/>
      <c r="F34" s="57">
        <v>63464363</v>
      </c>
      <c r="G34" s="57"/>
      <c r="H34" s="61"/>
      <c r="I34" s="53"/>
      <c r="J34" s="53"/>
      <c r="K34" s="53"/>
      <c r="L34" s="62"/>
      <c r="M34" s="62"/>
      <c r="N34" s="53"/>
    </row>
    <row r="35" spans="1:14" s="18" customFormat="1" ht="15" customHeight="1" x14ac:dyDescent="0.25">
      <c r="A35" s="53" t="s">
        <v>15</v>
      </c>
      <c r="B35" s="53"/>
      <c r="C35" s="60">
        <v>42914</v>
      </c>
      <c r="D35" s="66"/>
      <c r="E35" s="53"/>
      <c r="F35" s="57">
        <v>12124124</v>
      </c>
      <c r="G35" s="57"/>
      <c r="H35" s="61"/>
      <c r="I35" s="53"/>
      <c r="J35" s="53"/>
      <c r="K35" s="53"/>
      <c r="L35" s="62"/>
      <c r="M35" s="62"/>
      <c r="N35" s="53"/>
    </row>
    <row r="36" spans="1:14" s="18" customFormat="1" ht="15" customHeight="1" x14ac:dyDescent="0.25">
      <c r="A36" s="18" t="s">
        <v>16</v>
      </c>
      <c r="C36" s="50">
        <v>42751</v>
      </c>
      <c r="D36" s="65"/>
      <c r="F36" s="11"/>
      <c r="G36" s="11">
        <v>5241602.82</v>
      </c>
      <c r="H36" s="19"/>
      <c r="J36" s="18" t="s">
        <v>82</v>
      </c>
      <c r="L36" s="20"/>
      <c r="M36" s="20"/>
    </row>
    <row r="37" spans="1:14" ht="15" customHeight="1" x14ac:dyDescent="0.25">
      <c r="A37" s="18" t="s">
        <v>16</v>
      </c>
      <c r="B37" s="18"/>
      <c r="C37" s="14">
        <v>42751</v>
      </c>
      <c r="D37" s="65"/>
      <c r="E37" s="18"/>
      <c r="F37" s="11"/>
      <c r="G37" s="11">
        <v>2785457.5</v>
      </c>
      <c r="H37" s="19"/>
      <c r="I37" s="18"/>
      <c r="J37" s="18" t="s">
        <v>83</v>
      </c>
      <c r="K37" s="18"/>
      <c r="L37" s="20"/>
      <c r="M37" s="20"/>
    </row>
    <row r="38" spans="1:14" ht="15" customHeight="1" x14ac:dyDescent="0.25">
      <c r="A38" s="18" t="s">
        <v>16</v>
      </c>
      <c r="B38" s="18"/>
      <c r="C38" s="14">
        <v>42751</v>
      </c>
      <c r="D38" s="65"/>
      <c r="E38" s="18"/>
      <c r="F38" s="11"/>
      <c r="G38" s="11">
        <v>2022590</v>
      </c>
      <c r="H38" s="19"/>
      <c r="I38" s="18"/>
      <c r="J38" s="18" t="s">
        <v>84</v>
      </c>
      <c r="K38" s="18"/>
      <c r="L38" s="20"/>
      <c r="M38" s="20"/>
    </row>
    <row r="39" spans="1:14" ht="15" customHeight="1" x14ac:dyDescent="0.25">
      <c r="A39" s="18" t="s">
        <v>16</v>
      </c>
      <c r="B39" s="18"/>
      <c r="C39" s="14">
        <v>42751</v>
      </c>
      <c r="D39" s="65"/>
      <c r="E39" s="18"/>
      <c r="F39" s="11"/>
      <c r="G39" s="11">
        <v>1875125</v>
      </c>
      <c r="H39" s="19"/>
      <c r="I39" s="18"/>
      <c r="J39" s="18" t="s">
        <v>85</v>
      </c>
      <c r="K39" s="18"/>
      <c r="L39" s="20"/>
      <c r="M39" s="20"/>
    </row>
    <row r="40" spans="1:14" ht="15" customHeight="1" x14ac:dyDescent="0.25">
      <c r="A40" s="18" t="s">
        <v>16</v>
      </c>
      <c r="B40" s="18"/>
      <c r="C40" s="14">
        <v>42751</v>
      </c>
      <c r="D40" s="65"/>
      <c r="E40" s="18"/>
      <c r="F40" s="11"/>
      <c r="G40" s="11">
        <v>1592569.55</v>
      </c>
      <c r="H40" s="19"/>
      <c r="I40" s="18"/>
      <c r="J40" s="18" t="s">
        <v>86</v>
      </c>
      <c r="K40" s="18"/>
      <c r="L40" s="20"/>
      <c r="M40" s="20"/>
    </row>
    <row r="41" spans="1:14" ht="15" customHeight="1" x14ac:dyDescent="0.25">
      <c r="A41" s="18" t="s">
        <v>16</v>
      </c>
      <c r="B41" s="18"/>
      <c r="C41" s="14">
        <v>42751</v>
      </c>
      <c r="D41" s="65"/>
      <c r="E41" s="18"/>
      <c r="F41" s="11"/>
      <c r="G41" s="11">
        <v>1020000</v>
      </c>
      <c r="H41" s="19"/>
      <c r="I41" s="18"/>
      <c r="J41" s="18" t="s">
        <v>87</v>
      </c>
      <c r="K41" s="18"/>
      <c r="L41" s="20"/>
      <c r="M41" s="20"/>
    </row>
    <row r="42" spans="1:14" ht="15" customHeight="1" x14ac:dyDescent="0.25">
      <c r="A42" s="18" t="s">
        <v>16</v>
      </c>
      <c r="B42" s="18"/>
      <c r="C42" s="14">
        <v>42809</v>
      </c>
      <c r="D42" s="65"/>
      <c r="E42" s="18"/>
      <c r="F42" s="11">
        <v>5441604.8399999999</v>
      </c>
      <c r="G42" s="11"/>
      <c r="H42" s="19"/>
      <c r="I42" s="18"/>
      <c r="J42" s="18" t="s">
        <v>88</v>
      </c>
      <c r="K42" s="18"/>
      <c r="L42" s="20"/>
      <c r="M42" s="20"/>
    </row>
    <row r="43" spans="1:14" ht="15" customHeight="1" x14ac:dyDescent="0.25">
      <c r="A43" s="18" t="s">
        <v>16</v>
      </c>
      <c r="B43" s="18"/>
      <c r="C43" s="14">
        <v>42810</v>
      </c>
      <c r="D43" s="65"/>
      <c r="E43" s="18"/>
      <c r="F43" s="11">
        <v>4785457.5</v>
      </c>
      <c r="G43" s="11"/>
      <c r="H43" s="19"/>
      <c r="I43" s="18"/>
      <c r="J43" s="18" t="s">
        <v>83</v>
      </c>
      <c r="K43" s="18"/>
      <c r="L43" s="20"/>
      <c r="M43" s="20"/>
    </row>
    <row r="44" spans="1:14" ht="15" customHeight="1" x14ac:dyDescent="0.25">
      <c r="A44" s="18" t="s">
        <v>16</v>
      </c>
      <c r="B44" s="18"/>
      <c r="C44" s="14">
        <v>42810</v>
      </c>
      <c r="D44" s="65"/>
      <c r="E44" s="18"/>
      <c r="F44" s="11">
        <v>4044590</v>
      </c>
      <c r="G44" s="11"/>
      <c r="H44" s="19"/>
      <c r="I44" s="18"/>
      <c r="J44" s="18" t="s">
        <v>84</v>
      </c>
      <c r="K44" s="18"/>
      <c r="L44" s="20"/>
      <c r="M44" s="20"/>
    </row>
    <row r="45" spans="1:14" ht="15" customHeight="1" x14ac:dyDescent="0.25">
      <c r="A45" s="18" t="s">
        <v>16</v>
      </c>
      <c r="B45" s="18"/>
      <c r="C45" s="14">
        <v>42810</v>
      </c>
      <c r="D45" s="65"/>
      <c r="E45" s="18"/>
      <c r="F45" s="11">
        <v>1875145</v>
      </c>
      <c r="G45" s="11"/>
      <c r="H45" s="19"/>
      <c r="I45" s="18"/>
      <c r="J45" s="18" t="s">
        <v>85</v>
      </c>
      <c r="K45" s="18"/>
      <c r="L45" s="20"/>
      <c r="M45" s="20"/>
    </row>
    <row r="46" spans="1:14" ht="15" customHeight="1" x14ac:dyDescent="0.25">
      <c r="A46" s="4" t="s">
        <v>16</v>
      </c>
      <c r="C46" s="14">
        <v>42810</v>
      </c>
      <c r="F46" s="11">
        <v>1594569.55</v>
      </c>
      <c r="G46" s="11"/>
      <c r="J46" s="4" t="s">
        <v>86</v>
      </c>
    </row>
    <row r="47" spans="1:14" ht="15" customHeight="1" x14ac:dyDescent="0.25">
      <c r="A47" s="4" t="s">
        <v>16</v>
      </c>
      <c r="C47" s="14">
        <v>42810</v>
      </c>
      <c r="F47" s="11">
        <v>1040000</v>
      </c>
      <c r="G47" s="11"/>
      <c r="J47" s="4" t="s">
        <v>87</v>
      </c>
    </row>
    <row r="48" spans="1:14" ht="15" customHeight="1" x14ac:dyDescent="0.25">
      <c r="A48" s="4" t="s">
        <v>16</v>
      </c>
      <c r="C48" s="14">
        <v>42810</v>
      </c>
      <c r="F48" s="11">
        <v>134</v>
      </c>
      <c r="G48" s="11"/>
    </row>
    <row r="49" spans="1:7" ht="15" customHeight="1" x14ac:dyDescent="0.25">
      <c r="A49" s="4" t="s">
        <v>16</v>
      </c>
      <c r="C49" s="14">
        <v>42810</v>
      </c>
      <c r="F49" s="11">
        <v>1234</v>
      </c>
      <c r="G49" s="11"/>
    </row>
    <row r="50" spans="1:7" ht="15" customHeight="1" x14ac:dyDescent="0.25">
      <c r="A50" s="4" t="s">
        <v>16</v>
      </c>
      <c r="C50" s="14">
        <v>42841</v>
      </c>
      <c r="F50" s="11">
        <v>123456</v>
      </c>
      <c r="G50" s="11"/>
    </row>
    <row r="51" spans="1:7" ht="15" customHeight="1" x14ac:dyDescent="0.25">
      <c r="A51" s="4" t="s">
        <v>16</v>
      </c>
      <c r="C51" s="14">
        <v>42842</v>
      </c>
      <c r="F51" s="11">
        <v>63464363</v>
      </c>
      <c r="G51" s="11"/>
    </row>
    <row r="52" spans="1:7" ht="15" customHeight="1" x14ac:dyDescent="0.25">
      <c r="A52" s="4" t="s">
        <v>16</v>
      </c>
      <c r="C52" s="14">
        <v>42914</v>
      </c>
      <c r="F52" s="11">
        <v>12124124</v>
      </c>
      <c r="G52" s="11"/>
    </row>
  </sheetData>
  <phoneticPr fontId="1" type="noConversion"/>
  <printOptions horizontalCentered="1" gridLines="1"/>
  <pageMargins left="0" right="0" top="0.98425196850393704" bottom="0.39370078740157483" header="0.51181102362204722" footer="0.19685039370078741"/>
  <pageSetup paperSize="9" scale="95" fitToHeight="0" orientation="landscape" blackAndWhite="1" horizontalDpi="1200" verticalDpi="1200" r:id="rId1"/>
  <headerFooter alignWithMargins="0">
    <oddFooter>&amp;C&amp;P / &amp;N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C8084-5E55-42E0-A9C2-1890987A4FF4}">
  <sheetPr codeName="Sheet4">
    <tabColor rgb="FF00B050"/>
  </sheetPr>
  <dimension ref="A1:S22"/>
  <sheetViews>
    <sheetView zoomScale="85" zoomScaleNormal="85" workbookViewId="0">
      <selection activeCell="E7" sqref="E7"/>
    </sheetView>
  </sheetViews>
  <sheetFormatPr defaultRowHeight="13.2" x14ac:dyDescent="0.25"/>
  <cols>
    <col min="1" max="1" width="5.21875" style="22" customWidth="1"/>
    <col min="2" max="2" width="38.5546875" style="29" customWidth="1"/>
    <col min="3" max="3" width="16.109375" style="48" customWidth="1"/>
    <col min="4" max="15" width="14.109375" style="30" customWidth="1"/>
    <col min="16" max="16" width="14.6640625" style="30" customWidth="1"/>
    <col min="17" max="16384" width="8.88671875" style="22"/>
  </cols>
  <sheetData>
    <row r="1" spans="1:19" ht="37.200000000000003" customHeight="1" x14ac:dyDescent="0.25">
      <c r="A1" s="69" t="s">
        <v>23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R1" s="23"/>
      <c r="S1" s="24"/>
    </row>
    <row r="2" spans="1:19" ht="21" customHeight="1" x14ac:dyDescent="0.25">
      <c r="A2" s="70" t="s">
        <v>54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</row>
    <row r="3" spans="1:19" s="36" customFormat="1" ht="24.6" customHeight="1" x14ac:dyDescent="0.25">
      <c r="A3" s="26"/>
      <c r="B3" s="26" t="s">
        <v>37</v>
      </c>
      <c r="C3" s="26" t="s">
        <v>44</v>
      </c>
      <c r="D3" s="34" t="s">
        <v>24</v>
      </c>
      <c r="E3" s="34" t="s">
        <v>25</v>
      </c>
      <c r="F3" s="34" t="s">
        <v>26</v>
      </c>
      <c r="G3" s="34" t="s">
        <v>27</v>
      </c>
      <c r="H3" s="34" t="s">
        <v>28</v>
      </c>
      <c r="I3" s="34" t="s">
        <v>29</v>
      </c>
      <c r="J3" s="34" t="s">
        <v>30</v>
      </c>
      <c r="K3" s="34" t="s">
        <v>31</v>
      </c>
      <c r="L3" s="34" t="s">
        <v>32</v>
      </c>
      <c r="M3" s="34" t="s">
        <v>33</v>
      </c>
      <c r="N3" s="34" t="s">
        <v>34</v>
      </c>
      <c r="O3" s="34" t="s">
        <v>35</v>
      </c>
      <c r="P3" s="35" t="s">
        <v>36</v>
      </c>
    </row>
    <row r="4" spans="1:19" s="25" customFormat="1" ht="24.6" customHeight="1" x14ac:dyDescent="0.25">
      <c r="A4" s="71" t="s">
        <v>52</v>
      </c>
      <c r="B4" s="27" t="s">
        <v>48</v>
      </c>
      <c r="C4" s="46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8">
        <f>SUM(D4:O4)</f>
        <v>0</v>
      </c>
    </row>
    <row r="5" spans="1:19" s="25" customFormat="1" ht="24.6" customHeight="1" x14ac:dyDescent="0.25">
      <c r="A5" s="72"/>
      <c r="B5" s="27" t="s">
        <v>49</v>
      </c>
      <c r="C5" s="46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8">
        <f t="shared" ref="P5:P19" si="0">SUM(D5:O5)</f>
        <v>0</v>
      </c>
    </row>
    <row r="6" spans="1:19" s="25" customFormat="1" ht="24.6" customHeight="1" x14ac:dyDescent="0.25">
      <c r="A6" s="72"/>
      <c r="B6" s="27" t="s">
        <v>38</v>
      </c>
      <c r="C6" s="46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8">
        <f t="shared" si="0"/>
        <v>0</v>
      </c>
      <c r="Q6" s="28"/>
    </row>
    <row r="7" spans="1:19" s="25" customFormat="1" ht="24.6" customHeight="1" x14ac:dyDescent="0.25">
      <c r="A7" s="72"/>
      <c r="B7" s="27" t="s">
        <v>39</v>
      </c>
      <c r="C7" s="46" t="s">
        <v>45</v>
      </c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8">
        <f t="shared" si="0"/>
        <v>0</v>
      </c>
      <c r="Q7" s="28"/>
    </row>
    <row r="8" spans="1:19" s="25" customFormat="1" ht="24.6" customHeight="1" x14ac:dyDescent="0.25">
      <c r="A8" s="72"/>
      <c r="B8" s="27" t="s">
        <v>40</v>
      </c>
      <c r="C8" s="46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8">
        <f t="shared" si="0"/>
        <v>0</v>
      </c>
      <c r="Q8" s="28"/>
    </row>
    <row r="9" spans="1:19" s="25" customFormat="1" ht="24.6" customHeight="1" x14ac:dyDescent="0.25">
      <c r="A9" s="72"/>
      <c r="B9" s="27" t="s">
        <v>41</v>
      </c>
      <c r="C9" s="46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8">
        <f t="shared" si="0"/>
        <v>0</v>
      </c>
      <c r="Q9" s="28"/>
    </row>
    <row r="10" spans="1:19" s="25" customFormat="1" ht="24.6" customHeight="1" x14ac:dyDescent="0.25">
      <c r="A10" s="72"/>
      <c r="B10" s="33" t="s">
        <v>42</v>
      </c>
      <c r="C10" s="47" t="s">
        <v>46</v>
      </c>
      <c r="D10" s="38">
        <f>D4-(D7+D8+D9)</f>
        <v>0</v>
      </c>
      <c r="E10" s="38">
        <f t="shared" ref="E10:O10" si="1">E4-(E7+E8+E9)</f>
        <v>0</v>
      </c>
      <c r="F10" s="38">
        <f t="shared" si="1"/>
        <v>0</v>
      </c>
      <c r="G10" s="38">
        <f t="shared" si="1"/>
        <v>0</v>
      </c>
      <c r="H10" s="38">
        <f t="shared" si="1"/>
        <v>0</v>
      </c>
      <c r="I10" s="38">
        <f t="shared" si="1"/>
        <v>0</v>
      </c>
      <c r="J10" s="38">
        <f t="shared" si="1"/>
        <v>0</v>
      </c>
      <c r="K10" s="38">
        <f t="shared" si="1"/>
        <v>0</v>
      </c>
      <c r="L10" s="38">
        <f t="shared" si="1"/>
        <v>0</v>
      </c>
      <c r="M10" s="38">
        <f t="shared" si="1"/>
        <v>0</v>
      </c>
      <c r="N10" s="38">
        <f t="shared" si="1"/>
        <v>0</v>
      </c>
      <c r="O10" s="38">
        <f t="shared" si="1"/>
        <v>0</v>
      </c>
      <c r="P10" s="38">
        <f t="shared" si="0"/>
        <v>0</v>
      </c>
      <c r="Q10" s="28"/>
    </row>
    <row r="11" spans="1:19" s="25" customFormat="1" ht="24.6" customHeight="1" x14ac:dyDescent="0.25">
      <c r="A11" s="73"/>
      <c r="B11" s="33" t="s">
        <v>43</v>
      </c>
      <c r="C11" s="47" t="s">
        <v>47</v>
      </c>
      <c r="D11" s="38">
        <f>D5-(D7+D8+D9)</f>
        <v>0</v>
      </c>
      <c r="E11" s="38">
        <f t="shared" ref="E11:O11" si="2">E5-(E7+E8+E9)</f>
        <v>0</v>
      </c>
      <c r="F11" s="38">
        <f t="shared" si="2"/>
        <v>0</v>
      </c>
      <c r="G11" s="38">
        <f t="shared" si="2"/>
        <v>0</v>
      </c>
      <c r="H11" s="38">
        <f t="shared" si="2"/>
        <v>0</v>
      </c>
      <c r="I11" s="38">
        <f t="shared" si="2"/>
        <v>0</v>
      </c>
      <c r="J11" s="38">
        <f t="shared" si="2"/>
        <v>0</v>
      </c>
      <c r="K11" s="38">
        <f t="shared" si="2"/>
        <v>0</v>
      </c>
      <c r="L11" s="38">
        <f t="shared" si="2"/>
        <v>0</v>
      </c>
      <c r="M11" s="38">
        <f t="shared" si="2"/>
        <v>0</v>
      </c>
      <c r="N11" s="38">
        <f t="shared" si="2"/>
        <v>0</v>
      </c>
      <c r="O11" s="38">
        <f t="shared" si="2"/>
        <v>0</v>
      </c>
      <c r="P11" s="38">
        <f t="shared" si="0"/>
        <v>0</v>
      </c>
      <c r="Q11" s="28"/>
    </row>
    <row r="12" spans="1:19" s="25" customFormat="1" ht="24.6" customHeight="1" x14ac:dyDescent="0.25">
      <c r="A12" s="71" t="s">
        <v>53</v>
      </c>
      <c r="B12" s="27" t="s">
        <v>50</v>
      </c>
      <c r="C12" s="46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8">
        <f t="shared" si="0"/>
        <v>0</v>
      </c>
      <c r="Q12" s="28"/>
    </row>
    <row r="13" spans="1:19" s="25" customFormat="1" ht="24.6" customHeight="1" x14ac:dyDescent="0.25">
      <c r="A13" s="72"/>
      <c r="B13" s="27" t="s">
        <v>51</v>
      </c>
      <c r="C13" s="46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8">
        <f t="shared" si="0"/>
        <v>0</v>
      </c>
      <c r="Q13" s="28"/>
    </row>
    <row r="14" spans="1:19" s="25" customFormat="1" ht="24.6" customHeight="1" x14ac:dyDescent="0.25">
      <c r="A14" s="72"/>
      <c r="B14" s="27" t="s">
        <v>38</v>
      </c>
      <c r="C14" s="46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8">
        <f t="shared" si="0"/>
        <v>0</v>
      </c>
      <c r="Q14" s="28"/>
    </row>
    <row r="15" spans="1:19" s="25" customFormat="1" ht="24.6" customHeight="1" x14ac:dyDescent="0.25">
      <c r="A15" s="72"/>
      <c r="B15" s="27" t="s">
        <v>39</v>
      </c>
      <c r="C15" s="46" t="s">
        <v>45</v>
      </c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8">
        <f t="shared" si="0"/>
        <v>0</v>
      </c>
      <c r="Q15" s="28"/>
    </row>
    <row r="16" spans="1:19" s="25" customFormat="1" ht="24.6" customHeight="1" x14ac:dyDescent="0.25">
      <c r="A16" s="72"/>
      <c r="B16" s="27" t="s">
        <v>40</v>
      </c>
      <c r="C16" s="46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8">
        <f t="shared" si="0"/>
        <v>0</v>
      </c>
      <c r="Q16" s="28"/>
    </row>
    <row r="17" spans="1:17" s="25" customFormat="1" ht="24.6" customHeight="1" x14ac:dyDescent="0.25">
      <c r="A17" s="72"/>
      <c r="B17" s="27" t="s">
        <v>41</v>
      </c>
      <c r="C17" s="46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8">
        <f t="shared" si="0"/>
        <v>0</v>
      </c>
      <c r="Q17" s="28"/>
    </row>
    <row r="18" spans="1:17" s="25" customFormat="1" ht="24.6" customHeight="1" x14ac:dyDescent="0.25">
      <c r="A18" s="72"/>
      <c r="B18" s="33" t="s">
        <v>42</v>
      </c>
      <c r="C18" s="47" t="s">
        <v>46</v>
      </c>
      <c r="D18" s="38">
        <f>D12-(D15+D16+D17)</f>
        <v>0</v>
      </c>
      <c r="E18" s="38">
        <f t="shared" ref="E18:O18" si="3">E12-(E15+E16+E17)</f>
        <v>0</v>
      </c>
      <c r="F18" s="38">
        <f t="shared" si="3"/>
        <v>0</v>
      </c>
      <c r="G18" s="38">
        <f t="shared" si="3"/>
        <v>0</v>
      </c>
      <c r="H18" s="38">
        <f t="shared" si="3"/>
        <v>0</v>
      </c>
      <c r="I18" s="38">
        <f t="shared" si="3"/>
        <v>0</v>
      </c>
      <c r="J18" s="38">
        <f t="shared" si="3"/>
        <v>0</v>
      </c>
      <c r="K18" s="38">
        <f t="shared" si="3"/>
        <v>0</v>
      </c>
      <c r="L18" s="38">
        <f t="shared" si="3"/>
        <v>0</v>
      </c>
      <c r="M18" s="38">
        <f t="shared" si="3"/>
        <v>0</v>
      </c>
      <c r="N18" s="38">
        <f t="shared" si="3"/>
        <v>0</v>
      </c>
      <c r="O18" s="38">
        <f t="shared" si="3"/>
        <v>0</v>
      </c>
      <c r="P18" s="38">
        <f t="shared" si="0"/>
        <v>0</v>
      </c>
    </row>
    <row r="19" spans="1:17" s="25" customFormat="1" ht="24.6" customHeight="1" x14ac:dyDescent="0.25">
      <c r="A19" s="73"/>
      <c r="B19" s="33" t="s">
        <v>43</v>
      </c>
      <c r="C19" s="47" t="s">
        <v>47</v>
      </c>
      <c r="D19" s="38">
        <f>D13-(D15+D16+D17)</f>
        <v>0</v>
      </c>
      <c r="E19" s="38">
        <f t="shared" ref="E19:O19" si="4">E13-(E15+E16+E17)</f>
        <v>0</v>
      </c>
      <c r="F19" s="38">
        <f t="shared" si="4"/>
        <v>0</v>
      </c>
      <c r="G19" s="38">
        <f t="shared" si="4"/>
        <v>0</v>
      </c>
      <c r="H19" s="38">
        <f t="shared" si="4"/>
        <v>0</v>
      </c>
      <c r="I19" s="38">
        <f t="shared" si="4"/>
        <v>0</v>
      </c>
      <c r="J19" s="38">
        <f t="shared" si="4"/>
        <v>0</v>
      </c>
      <c r="K19" s="38">
        <f t="shared" si="4"/>
        <v>0</v>
      </c>
      <c r="L19" s="38">
        <f t="shared" si="4"/>
        <v>0</v>
      </c>
      <c r="M19" s="38">
        <f t="shared" si="4"/>
        <v>0</v>
      </c>
      <c r="N19" s="38">
        <f t="shared" si="4"/>
        <v>0</v>
      </c>
      <c r="O19" s="38">
        <f t="shared" si="4"/>
        <v>0</v>
      </c>
      <c r="P19" s="38">
        <f t="shared" si="0"/>
        <v>0</v>
      </c>
      <c r="Q19" s="28"/>
    </row>
    <row r="21" spans="1:17" x14ac:dyDescent="0.25">
      <c r="H21" s="31"/>
    </row>
    <row r="22" spans="1:17" x14ac:dyDescent="0.25">
      <c r="H22" s="32"/>
    </row>
  </sheetData>
  <mergeCells count="4">
    <mergeCell ref="A1:P1"/>
    <mergeCell ref="A2:P2"/>
    <mergeCell ref="A4:A11"/>
    <mergeCell ref="A12:A19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控制面板</vt:lpstr>
      <vt:lpstr>序时账</vt:lpstr>
      <vt:lpstr>银行流水</vt:lpstr>
      <vt:lpstr>结果展示模板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2019-07-17T01:24:26Z</dcterms:modified>
</cp:coreProperties>
</file>